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https://nyu0-my.sharepoint.com/personal/rg3940_nyu_edu/Documents/GoodNotes/NYU/Senior/Capstone Seminar/"/>
    </mc:Choice>
  </mc:AlternateContent>
  <xr:revisionPtr revIDLastSave="0" documentId="11_E6F52739396086DB309E5BE0CB3F6F943BAFC961" xr6:coauthVersionLast="47" xr6:coauthVersionMax="47" xr10:uidLastSave="{00000000-0000-0000-0000-000000000000}"/>
  <bookViews>
    <workbookView xWindow="0" yWindow="760" windowWidth="30240" windowHeight="17080" xr2:uid="{00000000-000D-0000-FFFF-FFFF00000000}"/>
  </bookViews>
  <sheets>
    <sheet name="Original" sheetId="1" r:id="rId1"/>
    <sheet name="Rarrang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7" i="2" l="1"/>
  <c r="AB37" i="2"/>
  <c r="U37" i="2"/>
  <c r="P37" i="2"/>
  <c r="AC36" i="2"/>
  <c r="AB36" i="2"/>
  <c r="U36" i="2"/>
  <c r="P36" i="2"/>
  <c r="AC35" i="2"/>
  <c r="AB35" i="2"/>
  <c r="AC34" i="2"/>
  <c r="AB34" i="2"/>
  <c r="U34" i="2"/>
  <c r="AC33" i="2"/>
  <c r="AB33" i="2"/>
  <c r="AC32" i="2"/>
  <c r="AB32" i="2"/>
  <c r="U32" i="2"/>
  <c r="P32" i="2"/>
  <c r="AC31" i="2"/>
  <c r="AB31" i="2"/>
  <c r="AC30" i="2"/>
  <c r="AB30" i="2"/>
  <c r="AC29" i="2"/>
  <c r="AB29" i="2"/>
  <c r="AC28" i="2"/>
  <c r="AB28" i="2"/>
  <c r="U28" i="2"/>
  <c r="P28" i="2"/>
  <c r="AC27" i="2"/>
  <c r="AB27" i="2"/>
  <c r="U27" i="2"/>
  <c r="P27" i="2"/>
  <c r="AC24" i="2"/>
  <c r="AB24" i="2"/>
  <c r="U24" i="2"/>
  <c r="P24" i="2"/>
  <c r="AC22" i="2"/>
  <c r="AB22" i="2"/>
  <c r="U22" i="2"/>
  <c r="P22" i="2"/>
  <c r="AC20" i="2"/>
  <c r="AB20" i="2"/>
  <c r="U20" i="2"/>
  <c r="P20" i="2"/>
  <c r="AC18" i="2"/>
  <c r="AB18" i="2"/>
  <c r="U18" i="2"/>
  <c r="P18" i="2"/>
  <c r="AC14" i="2"/>
  <c r="AB14" i="2"/>
  <c r="U14" i="2"/>
  <c r="P14" i="2"/>
  <c r="AC13" i="2"/>
  <c r="AB13" i="2"/>
  <c r="U13" i="2"/>
  <c r="P13" i="2"/>
  <c r="AC11" i="2"/>
  <c r="AB11" i="2"/>
  <c r="U11" i="2"/>
  <c r="P11" i="2"/>
  <c r="AC9" i="2"/>
  <c r="AB9" i="2"/>
  <c r="W9" i="2"/>
  <c r="U9" i="2"/>
  <c r="P9" i="2"/>
  <c r="AC7" i="2"/>
  <c r="AB7" i="2"/>
  <c r="U7" i="2"/>
  <c r="P7" i="2"/>
  <c r="AC4" i="2"/>
  <c r="AB4" i="2"/>
  <c r="U4" i="2"/>
  <c r="P4" i="2"/>
  <c r="AC3" i="2"/>
  <c r="AB3" i="2"/>
  <c r="W3" i="2"/>
  <c r="U3" i="2"/>
  <c r="P3" i="2"/>
  <c r="AA37" i="1"/>
  <c r="Z37" i="1"/>
  <c r="U37" i="1"/>
  <c r="P37" i="1"/>
  <c r="AA36" i="1"/>
  <c r="Z36" i="1"/>
  <c r="U36" i="1"/>
  <c r="P36" i="1"/>
  <c r="AA35" i="1"/>
  <c r="Z35" i="1"/>
  <c r="AA34" i="1"/>
  <c r="Z34" i="1"/>
  <c r="U34" i="1"/>
  <c r="AA33" i="1"/>
  <c r="Z33" i="1"/>
  <c r="AA32" i="1"/>
  <c r="Z32" i="1"/>
  <c r="U32" i="1"/>
  <c r="P32" i="1"/>
  <c r="AA31" i="1"/>
  <c r="Z31" i="1"/>
  <c r="AA30" i="1"/>
  <c r="Z30" i="1"/>
  <c r="AA29" i="1"/>
  <c r="Z29" i="1"/>
  <c r="AA28" i="1"/>
  <c r="Z28" i="1"/>
  <c r="U28" i="1"/>
  <c r="P28" i="1"/>
  <c r="AA25" i="1"/>
  <c r="Z25" i="1"/>
  <c r="U25" i="1"/>
  <c r="P25" i="1"/>
  <c r="AA23" i="1"/>
  <c r="Z23" i="1"/>
  <c r="U23" i="1"/>
  <c r="P23" i="1"/>
  <c r="AA20" i="1"/>
  <c r="Z20" i="1"/>
  <c r="U20" i="1"/>
  <c r="P20" i="1"/>
  <c r="AA19" i="1"/>
  <c r="Z19" i="1"/>
  <c r="U19" i="1"/>
  <c r="P19" i="1"/>
  <c r="AA18" i="1"/>
  <c r="Z18" i="1"/>
  <c r="U18" i="1"/>
  <c r="P18" i="1"/>
  <c r="AA16" i="1"/>
  <c r="Z16" i="1"/>
  <c r="U16" i="1"/>
  <c r="P16" i="1"/>
  <c r="AA13" i="1"/>
  <c r="Z13" i="1"/>
  <c r="U13" i="1"/>
  <c r="P13" i="1"/>
  <c r="AA11" i="1"/>
  <c r="Z11" i="1"/>
  <c r="U11" i="1"/>
  <c r="P11" i="1"/>
  <c r="AA8" i="1"/>
  <c r="Z8" i="1"/>
  <c r="U8" i="1"/>
  <c r="P8" i="1"/>
  <c r="AA7" i="1"/>
  <c r="Z7" i="1"/>
  <c r="U7" i="1"/>
  <c r="P7" i="1"/>
  <c r="AA5" i="1"/>
  <c r="Z5" i="1"/>
  <c r="U5" i="1"/>
  <c r="P5" i="1"/>
  <c r="AA4" i="1"/>
  <c r="Z4" i="1"/>
  <c r="U4" i="1"/>
  <c r="P4" i="1"/>
  <c r="AA2" i="1"/>
  <c r="Z2" i="1"/>
  <c r="U2" i="1"/>
  <c r="P2" i="1"/>
</calcChain>
</file>

<file path=xl/sharedStrings.xml><?xml version="1.0" encoding="utf-8"?>
<sst xmlns="http://schemas.openxmlformats.org/spreadsheetml/2006/main" count="601" uniqueCount="271">
  <si>
    <t>#</t>
  </si>
  <si>
    <t>MaNGA-ID</t>
  </si>
  <si>
    <t>Chosen?</t>
  </si>
  <si>
    <t>Names</t>
  </si>
  <si>
    <t>Number of References</t>
  </si>
  <si>
    <t>FIRST</t>
  </si>
  <si>
    <t>MaNGA RA</t>
  </si>
  <si>
    <t>MaNGA DEC</t>
  </si>
  <si>
    <t>Gaia RA Deg</t>
  </si>
  <si>
    <t>Gaia DEC Deg</t>
  </si>
  <si>
    <t>Gaia RA HMS</t>
  </si>
  <si>
    <t>Gaia DEC DMS</t>
  </si>
  <si>
    <t>FIRST Peak Flux</t>
  </si>
  <si>
    <t>FIRST Int Flux</t>
  </si>
  <si>
    <t>FIRST Ratio Peak/Int</t>
  </si>
  <si>
    <t>VLASS Fpeak
mJy/beam</t>
  </si>
  <si>
    <t>VLASS Fpeak Error</t>
  </si>
  <si>
    <t>VLASS Ftot
mJy/beam</t>
  </si>
  <si>
    <t>VLASS Ftot Error</t>
  </si>
  <si>
    <t>VLASS Ratio Peak/Int</t>
  </si>
  <si>
    <t>Peak Alpha (spectral index)</t>
  </si>
  <si>
    <t>Int Alpha (spectral index)</t>
  </si>
  <si>
    <t>Peak at 4.8 GHz</t>
  </si>
  <si>
    <t>Int at 4.8 GHz</t>
  </si>
  <si>
    <t>VLBA Sigma detections (4.8 GHz)</t>
  </si>
  <si>
    <t>VLBA Sigma detections (1.4 GHz)</t>
  </si>
  <si>
    <t>Name</t>
  </si>
  <si>
    <t>RA Error [mas]</t>
  </si>
  <si>
    <t>DEC Error [mas]</t>
  </si>
  <si>
    <t>Separation [deg]</t>
  </si>
  <si>
    <t>S Flux (Sh) [Jy]</t>
  </si>
  <si>
    <t>S Flux (Lg) [Jy]</t>
  </si>
  <si>
    <t>C Flux (Sh) [Jy]</t>
  </si>
  <si>
    <t>C Flux (Lg) [Jy]</t>
  </si>
  <si>
    <t>Contour Comment</t>
  </si>
  <si>
    <t>1-284293</t>
  </si>
  <si>
    <t>+ (interesting)</t>
  </si>
  <si>
    <t>2MASX J13085741+4554195; 2MASXi J1308574+455419; 2MASS J13085741+4554197; SDSS J130857.42+455419.6; SDSS J130857.42+455419.7</t>
  </si>
  <si>
    <t>13 08 57.4607464590 +45 54 19.4554743365</t>
  </si>
  <si>
    <t>13h08m57.4365715200s</t>
  </si>
  <si>
    <t>45d54m19.6091355600s</t>
  </si>
  <si>
    <t>13h8m57.4596000000011s</t>
  </si>
  <si>
    <t>45d54m19.289880000011408s</t>
  </si>
  <si>
    <t>J1310+4653</t>
  </si>
  <si>
    <t>Both Good, but this is more point-like</t>
  </si>
  <si>
    <t>13h8m57.40800000000348s</t>
  </si>
  <si>
    <t>45d54m20.004119999993577s</t>
  </si>
  <si>
    <t>J1301+4634</t>
  </si>
  <si>
    <t>Good</t>
  </si>
  <si>
    <t>1-26406</t>
  </si>
  <si>
    <t>very interesting target</t>
  </si>
  <si>
    <t>NGC 7189; UGC 11882; CGCG 377-017; CGCG 2200.7+0020; MCG +00-56-007</t>
  </si>
  <si>
    <t>22 03 15.9969956115 +0 34 16.1300949083</t>
  </si>
  <si>
    <t>22h03m15.9993100800s</t>
  </si>
  <si>
    <t>0d34m16.0635807192s</t>
  </si>
  <si>
    <t>22h3m15.99384000000697s</t>
  </si>
  <si>
    <t>0d34m16.00600799999995s</t>
  </si>
  <si>
    <t>J2207-0002</t>
  </si>
  <si>
    <t>elongated circle</t>
  </si>
  <si>
    <t>1-335141</t>
  </si>
  <si>
    <t>+ maybe (not much done on radio, good, interesting for other reasons)</t>
  </si>
  <si>
    <t>CGCG 077-117; CGCG 1521.8+0844; WISEA J152412.58+083241.3; 2MASX J15241259+0832412; 2MASS J15241258+0832412</t>
  </si>
  <si>
    <t>15 24 12.5614955886 +8 32 41.8107650358</t>
  </si>
  <si>
    <t>15h24m12.5793456000s</t>
  </si>
  <si>
    <t>8d32m41.2895965560s</t>
  </si>
  <si>
    <t>15h24m12.582720000000194s</t>
  </si>
  <si>
    <t>8d32m41.33241600000261s</t>
  </si>
  <si>
    <t>J1526+0959</t>
  </si>
  <si>
    <t>Kinda elliptical</t>
  </si>
  <si>
    <t>Maybes</t>
  </si>
  <si>
    <t>1-458092</t>
  </si>
  <si>
    <t>NO maybe too small (has oxygen line but BROAD/h-alpha not seen), but could be interesting</t>
  </si>
  <si>
    <t>WISEA J133245.62+263449.4; 2MASS J13324560+2634498; SDSS J133245.62+263449.3; GALEXASC J133245.61+263449.1; ASK 581878.0</t>
  </si>
  <si>
    <t>13 32 45.6237954915 +26 34 49.4708529044</t>
  </si>
  <si>
    <t>13h32m45.6225585600s</t>
  </si>
  <si>
    <t>26d34m49.3524170400s</t>
  </si>
  <si>
    <t>13h32m45.619440000001106s</t>
  </si>
  <si>
    <t>26d34m49.39644000000584s</t>
  </si>
  <si>
    <t>J1333+2725</t>
  </si>
  <si>
    <t>between circle and elliptical</t>
  </si>
  <si>
    <t>1-98401</t>
  </si>
  <si>
    <t>yes (but has evidence of post-merger activity)</t>
  </si>
  <si>
    <t>WISEA J215226.05-081024.6; 2MASX J21522605-0810248; 2MASS J21522605-0810247; SDSS J215226.03-081024.9; SDSS J215226.04-081024.9</t>
  </si>
  <si>
    <t>21 52 26.0706183465 -8 10 24.3801538435</t>
  </si>
  <si>
    <t>21h52m26.0335120800s</t>
  </si>
  <si>
    <t>-8d10m24.9593488680s</t>
  </si>
  <si>
    <t>21h52m26.001120000002516s</t>
  </si>
  <si>
    <t>-8d10m24.889079999997676s</t>
  </si>
  <si>
    <t>J2147-0620</t>
  </si>
  <si>
    <t>--</t>
  </si>
  <si>
    <t>more elliptical</t>
  </si>
  <si>
    <t>J2156-0855</t>
  </si>
  <si>
    <t>Best pointlike</t>
  </si>
  <si>
    <t>J2200-1105</t>
  </si>
  <si>
    <t>distorted elliptical</t>
  </si>
  <si>
    <t>1-635348</t>
  </si>
  <si>
    <t>MAYBE NOt</t>
  </si>
  <si>
    <t>maybe. might be difficult for anaysis. there is some disturbance in morphology. too weird in the optical</t>
  </si>
  <si>
    <t>CGCG 374-030; CGCG 2053.1-0049; WISEA J205536.50-003811.7; 2MASX J20553652-0038113; 2MASXi J2055365-003812</t>
  </si>
  <si>
    <t>20 55 36.5090329829 -0 38 11.5000572212</t>
  </si>
  <si>
    <t>20h55m36.5138788800s</t>
  </si>
  <si>
    <t>-0d38m11.7088330488s</t>
  </si>
  <si>
    <t>20h55m36.51408000000629s</t>
  </si>
  <si>
    <t>-0d38m11.713920000000257s</t>
  </si>
  <si>
    <t>J2054+0015</t>
  </si>
  <si>
    <t>Very elongated</t>
  </si>
  <si>
    <t>J2054+0041</t>
  </si>
  <si>
    <t>big circle</t>
  </si>
  <si>
    <t>1-135773</t>
  </si>
  <si>
    <t>maybe not</t>
  </si>
  <si>
    <t>maybe (?)</t>
  </si>
  <si>
    <t>WISEA J164149.36+371833.4; 2MASX J16414938+3718335; 2MASXi J1641493+371833; 2MASS J16414935+3718334; SDSS J164149.35+371833.3</t>
  </si>
  <si>
    <t>16 41 49.3429441531 +37 18 33.3463979451</t>
  </si>
  <si>
    <t>16h41m49.3562923200s</t>
  </si>
  <si>
    <t>37d18m33.3425098800s</t>
  </si>
  <si>
    <t>16h41m49.35480000000268s</t>
  </si>
  <si>
    <t>37d18m33.37019999999711s</t>
  </si>
  <si>
    <t>J1635+3808</t>
  </si>
  <si>
    <t>Less Point-like</t>
  </si>
  <si>
    <t>J1640+3946</t>
  </si>
  <si>
    <t>More Point-like</t>
  </si>
  <si>
    <t>New Ones</t>
  </si>
  <si>
    <t>yes</t>
  </si>
  <si>
    <t>20h55m36.513983773913594s</t>
  </si>
  <si>
    <t>-0d38m11.714049437283762s</t>
  </si>
  <si>
    <t>Little elliptical</t>
  </si>
  <si>
    <t>J2105+0033</t>
  </si>
  <si>
    <t>Less elliptical</t>
  </si>
  <si>
    <t>1-585641</t>
  </si>
  <si>
    <t>Priority yes</t>
  </si>
  <si>
    <t>very interesting, appears quite bright.</t>
  </si>
  <si>
    <t>CGCG 239-011 NED02; CGCG 0933.3+4842 NED02; MCG +08-18-013; WISEA J093637.20+482827.7; 2MASX J09363719+4828275</t>
  </si>
  <si>
    <t>9 36 37.2183892995 +48 28 27.8731199923</t>
  </si>
  <si>
    <t>9h36m37.1969217600s</t>
  </si>
  <si>
    <t>48d28m27.7742769600s</t>
  </si>
  <si>
    <t>9h36m37.19612376816471s</t>
  </si>
  <si>
    <t>48d28m27.83647972954782s</t>
  </si>
  <si>
    <t>J0937+5008</t>
  </si>
  <si>
    <t>Visibility is linear, but lil elliptical contour</t>
  </si>
  <si>
    <t>1-96451</t>
  </si>
  <si>
    <t>Yes</t>
  </si>
  <si>
    <t>interseting optical galaxy</t>
  </si>
  <si>
    <t>MCG -01-53-004; WISEA J204514.59-052903.6; 2MASX J20451461-0529035; 2MASXi J2045146-052903; 2MASS J20451460-0529034</t>
  </si>
  <si>
    <t>20 45 14.5883437680 -5 29 03.7395997729</t>
  </si>
  <si>
    <t>20h45m14.5962369600s</t>
  </si>
  <si>
    <t>-5d29m03.5773350720s</t>
  </si>
  <si>
    <t>20h45m14.593933595523367s</t>
  </si>
  <si>
    <t>-5d29m3.519589035084394s</t>
  </si>
  <si>
    <t>J2034-0523</t>
  </si>
  <si>
    <t>Countour lil distorted</t>
  </si>
  <si>
    <t>1-590142</t>
  </si>
  <si>
    <t>maybe yes, maybe bi-conical (compicated)</t>
  </si>
  <si>
    <t>KUG 1225+404; CGCG 216-003; CGCG 1225.2+4026; MCG +07-26-007; WISEA J122738.04+400937.7</t>
  </si>
  <si>
    <t>12 27 38.0496218916 +40 09 37.6331052730</t>
  </si>
  <si>
    <t>12h27m38.0538122400s</t>
  </si>
  <si>
    <t>40d09m37.7616621600s</t>
  </si>
  <si>
    <t>12h27m38.048660432640276s</t>
  </si>
  <si>
    <t>40d9m37.80965863009044s</t>
  </si>
  <si>
    <t>J1220+3808</t>
  </si>
  <si>
    <t>visibility linear, contour circular but lil distorted</t>
  </si>
  <si>
    <t>J1224+4015</t>
  </si>
  <si>
    <t>visibility a lil over the place but linear, contour circular</t>
  </si>
  <si>
    <t>J1230+3930</t>
  </si>
  <si>
    <t>weird visibility, elliptical contour</t>
  </si>
  <si>
    <t>1-216976</t>
  </si>
  <si>
    <t>maybe yes</t>
  </si>
  <si>
    <t>KUG 0859+406; CGCG 209-017; CGCG 0859.8+4038; MCG +07-19-014; WISEA J090302.15+402602.3</t>
  </si>
  <si>
    <t>9 03 02.1497524359 +40 26 02.3851911245</t>
  </si>
  <si>
    <t>9h03m02.1517656000s</t>
  </si>
  <si>
    <t>40d26m02.3468820000s</t>
  </si>
  <si>
    <t>9h3m2.1486751684801675s</t>
  </si>
  <si>
    <t>40d26m2.375140023232234s</t>
  </si>
  <si>
    <t>J0908+4150</t>
  </si>
  <si>
    <t>visibility over the place, lil circular</t>
  </si>
  <si>
    <t>J0851+4050</t>
  </si>
  <si>
    <t>visibility over the place, contour elliptical</t>
  </si>
  <si>
    <t>1-605722</t>
  </si>
  <si>
    <t>Maybe not</t>
  </si>
  <si>
    <t>maybe, there is some deviation from gaussian shape in H but in O it's difficult to see (not surper strong line)</t>
  </si>
  <si>
    <t>NGC 2789; UGC 04875; KUG 0912+299; CGCG 151-035; CGCG 0912.0+2956</t>
  </si>
  <si>
    <t>9 14 59.6605783306 +29 43 48.9836978676</t>
  </si>
  <si>
    <t>9h14m59.6690620800s</t>
  </si>
  <si>
    <t>29d43m48.8652643200s</t>
  </si>
  <si>
    <t>9h14m59.66331960839554s</t>
  </si>
  <si>
    <t>29d43m48.92356174980506s</t>
  </si>
  <si>
    <t>J0915+2933</t>
  </si>
  <si>
    <t>Visibility more linear (lil chaotic), contour more circular</t>
  </si>
  <si>
    <t>J0905+2849</t>
  </si>
  <si>
    <t>Visibility weird, contour distorted circle</t>
  </si>
  <si>
    <t>No-s</t>
  </si>
  <si>
    <t xml:space="preserve">1-568584 </t>
  </si>
  <si>
    <t>(already observed)</t>
  </si>
  <si>
    <t>IC 0910; CGCG 131-024 NED01; CGCG 1338.8+2332 NED01; MCG +04-32-025 NED01; WAS 79</t>
  </si>
  <si>
    <t>13 41 07.8525228987 +23 16 55.2402563128</t>
  </si>
  <si>
    <t>13h41m07.8554364000s</t>
  </si>
  <si>
    <t>23d16m55.3995519600s</t>
  </si>
  <si>
    <t>13h41m7.845360000003296s</t>
  </si>
  <si>
    <t>23d16m55.32671999999735s</t>
  </si>
  <si>
    <t>J1350+2331</t>
  </si>
  <si>
    <t>Bigger point</t>
  </si>
  <si>
    <t>J1336+2057</t>
  </si>
  <si>
    <t>small but little elliptical</t>
  </si>
  <si>
    <t>J1327+2210</t>
  </si>
  <si>
    <t>small distorted pointlike</t>
  </si>
  <si>
    <t>J1342+2709</t>
  </si>
  <si>
    <t>most distorted</t>
  </si>
  <si>
    <t>1-195337</t>
  </si>
  <si>
    <t>- probably a merger, also looks nice but optical maybe is too weak</t>
  </si>
  <si>
    <t>UGC 08107; CGCG 270-037; CGCG 1257.5+5337; MCG +09-21-077; 2MASX J12593965+5320286</t>
  </si>
  <si>
    <t>12 59 39.6583214738 +53 20 28.9926657243</t>
  </si>
  <si>
    <t>12h59m39.7681840800s</t>
  </si>
  <si>
    <t>53d20m28.2697753200s</t>
  </si>
  <si>
    <t>12h59m39.74327999999957s</t>
  </si>
  <si>
    <t>53d20m28.547159999996552s</t>
  </si>
  <si>
    <t>J1253+5301</t>
  </si>
  <si>
    <t>Very distorted</t>
  </si>
  <si>
    <t>J1259+5140</t>
  </si>
  <si>
    <t>very distorted</t>
  </si>
  <si>
    <t>J1305+5116</t>
  </si>
  <si>
    <t>J1255+5331</t>
  </si>
  <si>
    <t>1-594755</t>
  </si>
  <si>
    <t>Blazar (well studied)</t>
  </si>
  <si>
    <t>MRK 0501; UGC 10599; CGCG 225-007; CGCG 1652.2+3950; MCG +07-35-002</t>
  </si>
  <si>
    <t>16 53 52.2141025085 +39 45 36.6503375836</t>
  </si>
  <si>
    <t>16h53m52.2198748800s</t>
  </si>
  <si>
    <t>39d45m36.5821945200s</t>
  </si>
  <si>
    <t>16h53m52.217280000001836s</t>
  </si>
  <si>
    <t>39d45m36.60659999999609s</t>
  </si>
  <si>
    <t>J1652+3902</t>
  </si>
  <si>
    <t>1-551121</t>
  </si>
  <si>
    <t>- (recent merger)</t>
  </si>
  <si>
    <t xml:space="preserve">CGCG 379-024; CGCG 2301.1+0047; WISEA J230341.23+010236.9; 2MASX J23034121+0102362; 2MASS J23034122+0102368 </t>
  </si>
  <si>
    <t>23 03 41.2340983587 +1 02 37.2299876558</t>
  </si>
  <si>
    <t>23h03m41.2347482400s</t>
  </si>
  <si>
    <t>1d02m36.8944692000s</t>
  </si>
  <si>
    <t>23h3m41.23631999999702s</t>
  </si>
  <si>
    <t>1d2m36.89224800000039s</t>
  </si>
  <si>
    <t>J2301-0158</t>
  </si>
  <si>
    <t>distorted</t>
  </si>
  <si>
    <t>J2311+0205</t>
  </si>
  <si>
    <t>meh (elliptical)</t>
  </si>
  <si>
    <t>J2254+0205</t>
  </si>
  <si>
    <t>best (elliptical)</t>
  </si>
  <si>
    <t>1-230867</t>
  </si>
  <si>
    <t>- (Ivan already working on it)</t>
  </si>
  <si>
    <t>1-244377</t>
  </si>
  <si>
    <t>- (merger)</t>
  </si>
  <si>
    <t>1-605367</t>
  </si>
  <si>
    <t>1-295411</t>
  </si>
  <si>
    <t>Comment</t>
  </si>
  <si>
    <t>Peak Slope</t>
  </si>
  <si>
    <t>Int Slope</t>
  </si>
  <si>
    <t>Hard Yes + Priority</t>
  </si>
  <si>
    <t>Steep</t>
  </si>
  <si>
    <t>Has evidence of post-merger activity. Make it a priority because it has high sigma, even though it's steep</t>
  </si>
  <si>
    <t>Maybe Yes</t>
  </si>
  <si>
    <t>(make a yes because it's flat spect)</t>
  </si>
  <si>
    <t>Flat</t>
  </si>
  <si>
    <t>Other Hard Yeses</t>
  </si>
  <si>
    <t>Interesting</t>
  </si>
  <si>
    <t>Not much done on radio, good, interesting for other reasons</t>
  </si>
  <si>
    <t>Maybe Not</t>
  </si>
  <si>
    <t>There is some deviation from gaussian shape in H but in O it's difficult to see (not surper strong line)</t>
  </si>
  <si>
    <t>Might be difficult for anaysis. there is some disturbance in morphology. too weird in the optical</t>
  </si>
  <si>
    <t>No</t>
  </si>
  <si>
    <t>maybe too small (has oxygen line but BROAD/h-alpha not seen), but could be interesting</t>
  </si>
  <si>
    <t>Already Observed</t>
  </si>
  <si>
    <t>probably a merger, also looks nice but optical maybe is too weak</t>
  </si>
  <si>
    <t>Recent merger</t>
  </si>
  <si>
    <t>Ivan already working on it</t>
  </si>
  <si>
    <t>Merger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</si>
</sst>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4183C4"/>
      <name val="Arial"/>
      <family val="2"/>
    </font>
    <font>
      <sz val="10"/>
      <name val="Arial"/>
      <family val="2"/>
    </font>
    <font>
      <u/>
      <sz val="11"/>
      <color rgb="FF4183C4"/>
      <name val="Arial"/>
      <family val="2"/>
    </font>
    <font>
      <sz val="10"/>
      <color theme="1"/>
      <name val="Arial"/>
      <family val="2"/>
    </font>
    <font>
      <u/>
      <sz val="11"/>
      <color rgb="FF4183C4"/>
      <name val="Arial"/>
      <family val="2"/>
    </font>
    <font>
      <u/>
      <sz val="11"/>
      <color rgb="FF4183C4"/>
      <name val="Arial"/>
      <family val="2"/>
    </font>
    <font>
      <u/>
      <sz val="11"/>
      <color rgb="FF4183C4"/>
      <name val="Arial"/>
      <family val="2"/>
    </font>
    <font>
      <sz val="11"/>
      <color rgb="FFFF0000"/>
      <name val="Arial"/>
      <family val="2"/>
    </font>
    <font>
      <u/>
      <sz val="11"/>
      <color rgb="FF4183C4"/>
      <name val="Arial"/>
      <family val="2"/>
    </font>
    <font>
      <u/>
      <sz val="11"/>
      <color rgb="FF4183C4"/>
      <name val="Arial"/>
      <family val="2"/>
    </font>
    <font>
      <sz val="10"/>
      <color theme="1"/>
      <name val="Arial"/>
      <family val="2"/>
      <scheme val="minor"/>
    </font>
    <font>
      <u/>
      <sz val="11"/>
      <color rgb="FF4183C4"/>
      <name val="Arial"/>
      <family val="2"/>
    </font>
    <font>
      <u/>
      <sz val="11"/>
      <color rgb="FF4183C4"/>
      <name val="Arial"/>
      <family val="2"/>
    </font>
    <font>
      <sz val="12"/>
      <color rgb="FF212529"/>
      <name val="Arial"/>
      <family val="2"/>
    </font>
    <font>
      <sz val="9"/>
      <color rgb="FF1155CC"/>
      <name val="&quot;Google Sans Mono&quot;"/>
    </font>
    <font>
      <u/>
      <sz val="11"/>
      <color rgb="FF4183C4"/>
      <name val="Lato"/>
    </font>
    <font>
      <sz val="11"/>
      <color rgb="FF000000"/>
      <name val="Lato"/>
    </font>
    <font>
      <u/>
      <sz val="11"/>
      <color rgb="FF4183C4"/>
      <name val="Lato"/>
    </font>
    <font>
      <u/>
      <sz val="11"/>
      <color rgb="FF4183C4"/>
      <name val="Lato"/>
    </font>
    <font>
      <u/>
      <sz val="11"/>
      <color rgb="FF4183C4"/>
      <name val="Lato"/>
    </font>
    <font>
      <u/>
      <sz val="11"/>
      <color rgb="FF4183C4"/>
      <name val="Lato"/>
    </font>
    <font>
      <u/>
      <sz val="11"/>
      <color rgb="FF4183C4"/>
      <name val="Lato"/>
    </font>
    <font>
      <u/>
      <sz val="11"/>
      <color rgb="FF4183C4"/>
      <name val="Lato"/>
    </font>
    <font>
      <u/>
      <sz val="11"/>
      <color rgb="FF4183C4"/>
      <name val="Arial"/>
      <family val="2"/>
    </font>
    <font>
      <u/>
      <sz val="11"/>
      <color rgb="FF4183C4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  <scheme val="minor"/>
    </font>
    <font>
      <u/>
      <sz val="11"/>
      <color rgb="FF4183C4"/>
      <name val="Lato"/>
    </font>
    <font>
      <sz val="11"/>
      <color theme="1"/>
      <name val="Lato"/>
    </font>
    <font>
      <sz val="11"/>
      <color rgb="FF000000"/>
      <name val="Arial"/>
      <family val="2"/>
    </font>
    <font>
      <u/>
      <sz val="11"/>
      <color rgb="FF4183C4"/>
      <name val="Arial"/>
      <family val="2"/>
    </font>
    <font>
      <u/>
      <sz val="11"/>
      <color rgb="FF4183C4"/>
      <name val="Lato"/>
    </font>
    <font>
      <u/>
      <sz val="11"/>
      <color rgb="FF4183C4"/>
      <name val="Arial"/>
      <family val="2"/>
    </font>
    <font>
      <u/>
      <sz val="11"/>
      <color rgb="FF4183C4"/>
      <name val="Arial"/>
      <family val="2"/>
    </font>
    <font>
      <u/>
      <sz val="10"/>
      <color rgb="FF0000FF"/>
      <name val="Arial"/>
      <family val="2"/>
    </font>
    <font>
      <u/>
      <sz val="11"/>
      <color rgb="FF4183C4"/>
      <name val="Lato"/>
    </font>
    <font>
      <u/>
      <sz val="11"/>
      <color rgb="FF4183C4"/>
      <name val="Arial"/>
      <family val="2"/>
    </font>
    <font>
      <u/>
      <sz val="11"/>
      <color rgb="FF4183C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E7F9EF"/>
        <bgColor rgb="FFE7F9EF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A9A9A"/>
      </bottom>
      <diagonal/>
    </border>
    <border>
      <left/>
      <right style="thin">
        <color rgb="FF000000"/>
      </right>
      <top style="thin">
        <color rgb="FF000000"/>
      </top>
      <bottom style="thin">
        <color rgb="FF9A9A9A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A2224"/>
      </right>
      <top/>
      <bottom/>
      <diagonal/>
    </border>
    <border>
      <left/>
      <right style="thin">
        <color rgb="FF1A2224"/>
      </right>
      <top/>
      <bottom style="thin">
        <color rgb="FF1A2224"/>
      </bottom>
      <diagonal/>
    </border>
    <border>
      <left/>
      <right/>
      <top/>
      <bottom style="thin">
        <color rgb="FF1A2224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  <border>
      <left/>
      <right style="thin">
        <color rgb="FF9A9A9A"/>
      </right>
      <top style="thin">
        <color rgb="FF9A9A9A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9A9A9A"/>
      </right>
      <top style="thin">
        <color rgb="FF000000"/>
      </top>
      <bottom/>
      <diagonal/>
    </border>
    <border>
      <left/>
      <right style="thin">
        <color rgb="FF1A2224"/>
      </right>
      <top style="thin">
        <color rgb="FF000000"/>
      </top>
      <bottom/>
      <diagonal/>
    </border>
    <border>
      <left/>
      <right style="thin">
        <color rgb="FF1A2224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/>
      <right style="thin">
        <color rgb="FF9A9A9A"/>
      </right>
      <top/>
      <bottom style="thin">
        <color rgb="FF9A9A9A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9A9A9A"/>
      </right>
      <top/>
      <bottom style="thin">
        <color rgb="FF000000"/>
      </bottom>
      <diagonal/>
    </border>
    <border>
      <left/>
      <right style="thin">
        <color rgb="FF1A2224"/>
      </right>
      <top/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/>
      <top style="thin">
        <color rgb="FF9A9A9A"/>
      </top>
      <bottom style="thin">
        <color rgb="FF9A9A9A"/>
      </bottom>
      <diagonal/>
    </border>
    <border>
      <left/>
      <right/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/>
      <bottom/>
      <diagonal/>
    </border>
    <border>
      <left/>
      <right style="thin">
        <color rgb="FF9A9A9A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1A2224"/>
      </right>
      <top style="thin">
        <color rgb="FF1A2224"/>
      </top>
      <bottom style="thin">
        <color rgb="FF000000"/>
      </bottom>
      <diagonal/>
    </border>
    <border>
      <left/>
      <right/>
      <top style="thin">
        <color rgb="FF1A2224"/>
      </top>
      <bottom style="thin">
        <color rgb="FF000000"/>
      </bottom>
      <diagonal/>
    </border>
    <border>
      <left style="thin">
        <color rgb="FF222426"/>
      </left>
      <right/>
      <top style="thin">
        <color rgb="FF222426"/>
      </top>
      <bottom style="thin">
        <color rgb="FF000000"/>
      </bottom>
      <diagonal/>
    </border>
    <border>
      <left style="thin">
        <color rgb="FF222426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9A9A9A"/>
      </bottom>
      <diagonal/>
    </border>
    <border>
      <left/>
      <right style="thin">
        <color rgb="FF000000"/>
      </right>
      <top/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4" xfId="0" applyFont="1" applyFill="1" applyBorder="1" applyAlignment="1">
      <alignment wrapText="1"/>
    </xf>
    <xf numFmtId="0" fontId="5" fillId="2" borderId="5" xfId="0" applyFont="1" applyFill="1" applyBorder="1"/>
    <xf numFmtId="0" fontId="5" fillId="2" borderId="6" xfId="0" applyFont="1" applyFill="1" applyBorder="1"/>
    <xf numFmtId="0" fontId="3" fillId="2" borderId="0" xfId="0" applyFont="1" applyFill="1"/>
    <xf numFmtId="0" fontId="3" fillId="3" borderId="10" xfId="0" applyFont="1" applyFill="1" applyBorder="1" applyAlignment="1">
      <alignment wrapText="1"/>
    </xf>
    <xf numFmtId="0" fontId="3" fillId="3" borderId="3" xfId="0" applyFont="1" applyFill="1" applyBorder="1" applyAlignment="1">
      <alignment horizontal="right" wrapText="1"/>
    </xf>
    <xf numFmtId="0" fontId="6" fillId="3" borderId="14" xfId="0" applyFont="1" applyFill="1" applyBorder="1"/>
    <xf numFmtId="0" fontId="3" fillId="3" borderId="14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3" fillId="3" borderId="0" xfId="0" applyFont="1" applyFill="1"/>
    <xf numFmtId="0" fontId="3" fillId="3" borderId="17" xfId="0" applyFont="1" applyFill="1" applyBorder="1" applyAlignment="1">
      <alignment horizontal="right" wrapText="1"/>
    </xf>
    <xf numFmtId="0" fontId="8" fillId="3" borderId="20" xfId="0" applyFont="1" applyFill="1" applyBorder="1"/>
    <xf numFmtId="0" fontId="3" fillId="3" borderId="20" xfId="0" applyFont="1" applyFill="1" applyBorder="1" applyAlignment="1">
      <alignment horizontal="right"/>
    </xf>
    <xf numFmtId="0" fontId="3" fillId="3" borderId="18" xfId="0" applyFont="1" applyFill="1" applyBorder="1" applyAlignment="1">
      <alignment horizontal="right"/>
    </xf>
    <xf numFmtId="0" fontId="1" fillId="5" borderId="21" xfId="0" applyFont="1" applyFill="1" applyBorder="1" applyAlignment="1">
      <alignment wrapText="1"/>
    </xf>
    <xf numFmtId="0" fontId="2" fillId="5" borderId="2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10" xfId="0" applyFont="1" applyFill="1" applyBorder="1" applyAlignment="1">
      <alignment wrapText="1"/>
    </xf>
    <xf numFmtId="0" fontId="4" fillId="5" borderId="10" xfId="0" applyFont="1" applyFill="1" applyBorder="1" applyAlignment="1">
      <alignment wrapText="1"/>
    </xf>
    <xf numFmtId="0" fontId="9" fillId="5" borderId="3" xfId="0" applyFont="1" applyFill="1" applyBorder="1" applyAlignment="1">
      <alignment wrapText="1"/>
    </xf>
    <xf numFmtId="0" fontId="3" fillId="5" borderId="23" xfId="0" applyFont="1" applyFill="1" applyBorder="1" applyAlignment="1">
      <alignment wrapText="1"/>
    </xf>
    <xf numFmtId="0" fontId="3" fillId="5" borderId="3" xfId="0" applyFont="1" applyFill="1" applyBorder="1" applyAlignment="1">
      <alignment horizontal="right" wrapText="1"/>
    </xf>
    <xf numFmtId="0" fontId="3" fillId="5" borderId="10" xfId="0" applyFont="1" applyFill="1" applyBorder="1" applyAlignment="1">
      <alignment horizontal="right" wrapText="1"/>
    </xf>
    <xf numFmtId="0" fontId="3" fillId="5" borderId="14" xfId="0" applyFont="1" applyFill="1" applyBorder="1" applyAlignment="1">
      <alignment horizontal="right" wrapText="1"/>
    </xf>
    <xf numFmtId="0" fontId="10" fillId="5" borderId="14" xfId="0" applyFont="1" applyFill="1" applyBorder="1"/>
    <xf numFmtId="0" fontId="3" fillId="5" borderId="14" xfId="0" applyFont="1" applyFill="1" applyBorder="1" applyAlignment="1">
      <alignment horizontal="right"/>
    </xf>
    <xf numFmtId="0" fontId="3" fillId="5" borderId="10" xfId="0" applyFont="1" applyFill="1" applyBorder="1" applyAlignment="1">
      <alignment horizontal="right"/>
    </xf>
    <xf numFmtId="0" fontId="3" fillId="5" borderId="0" xfId="0" applyFont="1" applyFill="1"/>
    <xf numFmtId="0" fontId="1" fillId="3" borderId="21" xfId="0" applyFont="1" applyFill="1" applyBorder="1" applyAlignment="1">
      <alignment wrapText="1"/>
    </xf>
    <xf numFmtId="0" fontId="2" fillId="3" borderId="22" xfId="0" applyFont="1" applyFill="1" applyBorder="1" applyAlignment="1">
      <alignment wrapText="1"/>
    </xf>
    <xf numFmtId="0" fontId="3" fillId="3" borderId="3" xfId="0" quotePrefix="1" applyFont="1" applyFill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23" xfId="0" applyFont="1" applyFill="1" applyBorder="1" applyAlignment="1">
      <alignment wrapText="1"/>
    </xf>
    <xf numFmtId="0" fontId="3" fillId="3" borderId="10" xfId="0" applyFont="1" applyFill="1" applyBorder="1" applyAlignment="1">
      <alignment horizontal="right" wrapText="1"/>
    </xf>
    <xf numFmtId="0" fontId="3" fillId="3" borderId="14" xfId="0" applyFont="1" applyFill="1" applyBorder="1" applyAlignment="1">
      <alignment horizontal="right" wrapText="1"/>
    </xf>
    <xf numFmtId="0" fontId="1" fillId="7" borderId="21" xfId="0" applyFont="1" applyFill="1" applyBorder="1" applyAlignment="1">
      <alignment wrapText="1"/>
    </xf>
    <xf numFmtId="0" fontId="2" fillId="7" borderId="22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7" borderId="10" xfId="0" applyFont="1" applyFill="1" applyBorder="1" applyAlignment="1">
      <alignment wrapText="1"/>
    </xf>
    <xf numFmtId="0" fontId="4" fillId="7" borderId="10" xfId="0" applyFont="1" applyFill="1" applyBorder="1" applyAlignment="1">
      <alignment wrapText="1"/>
    </xf>
    <xf numFmtId="0" fontId="9" fillId="7" borderId="3" xfId="0" applyFont="1" applyFill="1" applyBorder="1" applyAlignment="1">
      <alignment wrapText="1"/>
    </xf>
    <xf numFmtId="0" fontId="3" fillId="7" borderId="23" xfId="0" applyFont="1" applyFill="1" applyBorder="1" applyAlignment="1">
      <alignment wrapText="1"/>
    </xf>
    <xf numFmtId="0" fontId="3" fillId="7" borderId="3" xfId="0" applyFont="1" applyFill="1" applyBorder="1" applyAlignment="1">
      <alignment horizontal="right" wrapText="1"/>
    </xf>
    <xf numFmtId="0" fontId="3" fillId="7" borderId="10" xfId="0" applyFont="1" applyFill="1" applyBorder="1" applyAlignment="1">
      <alignment horizontal="right" wrapText="1"/>
    </xf>
    <xf numFmtId="0" fontId="3" fillId="7" borderId="14" xfId="0" applyFont="1" applyFill="1" applyBorder="1" applyAlignment="1">
      <alignment horizontal="right" wrapText="1"/>
    </xf>
    <xf numFmtId="0" fontId="11" fillId="7" borderId="14" xfId="0" applyFont="1" applyFill="1" applyBorder="1"/>
    <xf numFmtId="0" fontId="3" fillId="7" borderId="14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7" borderId="0" xfId="0" applyFont="1" applyFill="1"/>
    <xf numFmtId="0" fontId="3" fillId="0" borderId="10" xfId="0" applyFont="1" applyBorder="1" applyAlignment="1">
      <alignment wrapText="1"/>
    </xf>
    <xf numFmtId="0" fontId="12" fillId="8" borderId="14" xfId="0" applyFont="1" applyFill="1" applyBorder="1"/>
    <xf numFmtId="0" fontId="3" fillId="8" borderId="14" xfId="0" applyFont="1" applyFill="1" applyBorder="1" applyAlignment="1">
      <alignment horizontal="right"/>
    </xf>
    <xf numFmtId="0" fontId="13" fillId="8" borderId="14" xfId="0" applyFont="1" applyFill="1" applyBorder="1" applyAlignment="1">
      <alignment horizontal="right"/>
    </xf>
    <xf numFmtId="0" fontId="3" fillId="8" borderId="14" xfId="0" applyFont="1" applyFill="1" applyBorder="1"/>
    <xf numFmtId="0" fontId="3" fillId="8" borderId="10" xfId="0" applyFont="1" applyFill="1" applyBorder="1"/>
    <xf numFmtId="0" fontId="3" fillId="8" borderId="0" xfId="0" applyFont="1" applyFill="1"/>
    <xf numFmtId="0" fontId="14" fillId="8" borderId="20" xfId="0" applyFont="1" applyFill="1" applyBorder="1"/>
    <xf numFmtId="0" fontId="3" fillId="8" borderId="20" xfId="0" applyFont="1" applyFill="1" applyBorder="1" applyAlignment="1">
      <alignment horizontal="right"/>
    </xf>
    <xf numFmtId="0" fontId="3" fillId="8" borderId="20" xfId="0" applyFont="1" applyFill="1" applyBorder="1"/>
    <xf numFmtId="0" fontId="3" fillId="8" borderId="18" xfId="0" applyFont="1" applyFill="1" applyBorder="1" applyAlignment="1">
      <alignment horizontal="right"/>
    </xf>
    <xf numFmtId="0" fontId="15" fillId="0" borderId="20" xfId="0" applyFont="1" applyBorder="1"/>
    <xf numFmtId="0" fontId="3" fillId="9" borderId="20" xfId="0" applyFont="1" applyFill="1" applyBorder="1" applyAlignment="1">
      <alignment horizontal="right"/>
    </xf>
    <xf numFmtId="0" fontId="13" fillId="9" borderId="20" xfId="0" applyFont="1" applyFill="1" applyBorder="1" applyAlignment="1">
      <alignment horizontal="right"/>
    </xf>
    <xf numFmtId="0" fontId="3" fillId="9" borderId="18" xfId="0" applyFont="1" applyFill="1" applyBorder="1" applyAlignment="1">
      <alignment horizontal="right"/>
    </xf>
    <xf numFmtId="0" fontId="3" fillId="0" borderId="0" xfId="0" applyFont="1"/>
    <xf numFmtId="0" fontId="16" fillId="0" borderId="0" xfId="0" applyFont="1"/>
    <xf numFmtId="0" fontId="17" fillId="7" borderId="20" xfId="0" applyFont="1" applyFill="1" applyBorder="1"/>
    <xf numFmtId="0" fontId="3" fillId="7" borderId="20" xfId="0" applyFont="1" applyFill="1" applyBorder="1" applyAlignment="1">
      <alignment horizontal="right"/>
    </xf>
    <xf numFmtId="0" fontId="3" fillId="7" borderId="20" xfId="0" applyFont="1" applyFill="1" applyBorder="1"/>
    <xf numFmtId="0" fontId="3" fillId="7" borderId="18" xfId="0" applyFont="1" applyFill="1" applyBorder="1" applyAlignment="1">
      <alignment horizontal="right"/>
    </xf>
    <xf numFmtId="0" fontId="18" fillId="0" borderId="29" xfId="0" applyFont="1" applyBorder="1"/>
    <xf numFmtId="0" fontId="3" fillId="9" borderId="29" xfId="0" applyFont="1" applyFill="1" applyBorder="1" applyAlignment="1">
      <alignment horizontal="right"/>
    </xf>
    <xf numFmtId="0" fontId="3" fillId="9" borderId="30" xfId="0" applyFont="1" applyFill="1" applyBorder="1" applyAlignment="1">
      <alignment horizontal="right"/>
    </xf>
    <xf numFmtId="0" fontId="3" fillId="10" borderId="20" xfId="0" applyFont="1" applyFill="1" applyBorder="1" applyAlignment="1">
      <alignment horizontal="right"/>
    </xf>
    <xf numFmtId="0" fontId="13" fillId="10" borderId="20" xfId="0" applyFont="1" applyFill="1" applyBorder="1" applyAlignment="1">
      <alignment horizontal="right"/>
    </xf>
    <xf numFmtId="0" fontId="3" fillId="10" borderId="18" xfId="0" applyFont="1" applyFill="1" applyBorder="1" applyAlignment="1">
      <alignment horizontal="right"/>
    </xf>
    <xf numFmtId="0" fontId="1" fillId="11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9" fillId="11" borderId="0" xfId="0" applyFont="1" applyFill="1"/>
    <xf numFmtId="0" fontId="9" fillId="11" borderId="0" xfId="0" applyFont="1" applyFill="1" applyAlignment="1">
      <alignment vertical="top"/>
    </xf>
    <xf numFmtId="0" fontId="20" fillId="11" borderId="0" xfId="0" applyFont="1" applyFill="1" applyAlignment="1">
      <alignment horizontal="left"/>
    </xf>
    <xf numFmtId="0" fontId="21" fillId="7" borderId="31" xfId="0" applyFont="1" applyFill="1" applyBorder="1"/>
    <xf numFmtId="0" fontId="22" fillId="7" borderId="31" xfId="0" applyFont="1" applyFill="1" applyBorder="1"/>
    <xf numFmtId="0" fontId="9" fillId="7" borderId="0" xfId="0" applyFont="1" applyFill="1"/>
    <xf numFmtId="0" fontId="1" fillId="12" borderId="0" xfId="0" applyFont="1" applyFill="1" applyAlignment="1">
      <alignment wrapText="1"/>
    </xf>
    <xf numFmtId="0" fontId="19" fillId="12" borderId="0" xfId="0" applyFont="1" applyFill="1"/>
    <xf numFmtId="0" fontId="3" fillId="12" borderId="0" xfId="0" applyFont="1" applyFill="1" applyAlignment="1">
      <alignment wrapText="1"/>
    </xf>
    <xf numFmtId="0" fontId="9" fillId="12" borderId="0" xfId="0" applyFont="1" applyFill="1"/>
    <xf numFmtId="0" fontId="9" fillId="12" borderId="0" xfId="0" applyFont="1" applyFill="1" applyAlignment="1">
      <alignment vertical="top"/>
    </xf>
    <xf numFmtId="0" fontId="20" fillId="12" borderId="0" xfId="0" applyFont="1" applyFill="1" applyAlignment="1">
      <alignment horizontal="left"/>
    </xf>
    <xf numFmtId="0" fontId="23" fillId="12" borderId="31" xfId="0" applyFont="1" applyFill="1" applyBorder="1"/>
    <xf numFmtId="0" fontId="22" fillId="12" borderId="31" xfId="0" applyFont="1" applyFill="1" applyBorder="1"/>
    <xf numFmtId="0" fontId="2" fillId="11" borderId="0" xfId="0" applyFont="1" applyFill="1" applyAlignment="1">
      <alignment wrapText="1"/>
    </xf>
    <xf numFmtId="0" fontId="24" fillId="11" borderId="31" xfId="0" applyFont="1" applyFill="1" applyBorder="1"/>
    <xf numFmtId="0" fontId="22" fillId="11" borderId="31" xfId="0" applyFont="1" applyFill="1" applyBorder="1"/>
    <xf numFmtId="0" fontId="25" fillId="13" borderId="32" xfId="0" applyFont="1" applyFill="1" applyBorder="1"/>
    <xf numFmtId="0" fontId="22" fillId="13" borderId="32" xfId="0" applyFont="1" applyFill="1" applyBorder="1"/>
    <xf numFmtId="0" fontId="9" fillId="13" borderId="0" xfId="0" applyFont="1" applyFill="1"/>
    <xf numFmtId="0" fontId="26" fillId="13" borderId="31" xfId="0" applyFont="1" applyFill="1" applyBorder="1"/>
    <xf numFmtId="0" fontId="22" fillId="13" borderId="31" xfId="0" applyFont="1" applyFill="1" applyBorder="1"/>
    <xf numFmtId="0" fontId="3" fillId="14" borderId="0" xfId="0" applyFont="1" applyFill="1" applyAlignment="1">
      <alignment wrapText="1"/>
    </xf>
    <xf numFmtId="0" fontId="9" fillId="14" borderId="0" xfId="0" applyFont="1" applyFill="1"/>
    <xf numFmtId="0" fontId="27" fillId="14" borderId="31" xfId="0" applyFont="1" applyFill="1" applyBorder="1"/>
    <xf numFmtId="0" fontId="22" fillId="14" borderId="31" xfId="0" applyFont="1" applyFill="1" applyBorder="1"/>
    <xf numFmtId="0" fontId="28" fillId="12" borderId="32" xfId="0" applyFont="1" applyFill="1" applyBorder="1"/>
    <xf numFmtId="0" fontId="22" fillId="12" borderId="32" xfId="0" applyFont="1" applyFill="1" applyBorder="1"/>
    <xf numFmtId="0" fontId="3" fillId="15" borderId="10" xfId="0" applyFont="1" applyFill="1" applyBorder="1" applyAlignment="1">
      <alignment wrapText="1"/>
    </xf>
    <xf numFmtId="0" fontId="3" fillId="15" borderId="10" xfId="0" applyFont="1" applyFill="1" applyBorder="1" applyAlignment="1">
      <alignment horizontal="right" wrapText="1"/>
    </xf>
    <xf numFmtId="0" fontId="3" fillId="15" borderId="14" xfId="0" applyFont="1" applyFill="1" applyBorder="1" applyAlignment="1">
      <alignment horizontal="right" wrapText="1"/>
    </xf>
    <xf numFmtId="0" fontId="29" fillId="15" borderId="14" xfId="0" applyFont="1" applyFill="1" applyBorder="1"/>
    <xf numFmtId="0" fontId="3" fillId="15" borderId="14" xfId="0" applyFont="1" applyFill="1" applyBorder="1" applyAlignment="1">
      <alignment horizontal="right"/>
    </xf>
    <xf numFmtId="0" fontId="13" fillId="15" borderId="14" xfId="0" applyFont="1" applyFill="1" applyBorder="1" applyAlignment="1">
      <alignment horizontal="right"/>
    </xf>
    <xf numFmtId="0" fontId="3" fillId="15" borderId="14" xfId="0" applyFont="1" applyFill="1" applyBorder="1"/>
    <xf numFmtId="0" fontId="3" fillId="15" borderId="10" xfId="0" applyFont="1" applyFill="1" applyBorder="1"/>
    <xf numFmtId="0" fontId="3" fillId="15" borderId="0" xfId="0" applyFont="1" applyFill="1"/>
    <xf numFmtId="0" fontId="3" fillId="15" borderId="18" xfId="0" applyFont="1" applyFill="1" applyBorder="1" applyAlignment="1">
      <alignment horizontal="right" wrapText="1"/>
    </xf>
    <xf numFmtId="0" fontId="3" fillId="15" borderId="20" xfId="0" applyFont="1" applyFill="1" applyBorder="1" applyAlignment="1">
      <alignment horizontal="right" wrapText="1"/>
    </xf>
    <xf numFmtId="0" fontId="30" fillId="15" borderId="20" xfId="0" applyFont="1" applyFill="1" applyBorder="1"/>
    <xf numFmtId="0" fontId="3" fillId="15" borderId="20" xfId="0" applyFont="1" applyFill="1" applyBorder="1" applyAlignment="1">
      <alignment horizontal="right"/>
    </xf>
    <xf numFmtId="0" fontId="13" fillId="15" borderId="20" xfId="0" applyFont="1" applyFill="1" applyBorder="1" applyAlignment="1">
      <alignment horizontal="right"/>
    </xf>
    <xf numFmtId="0" fontId="3" fillId="15" borderId="20" xfId="0" applyFont="1" applyFill="1" applyBorder="1"/>
    <xf numFmtId="0" fontId="3" fillId="15" borderId="18" xfId="0" applyFont="1" applyFill="1" applyBorder="1" applyAlignment="1">
      <alignment horizontal="right"/>
    </xf>
    <xf numFmtId="0" fontId="3" fillId="15" borderId="17" xfId="0" applyFont="1" applyFill="1" applyBorder="1" applyAlignment="1">
      <alignment wrapText="1"/>
    </xf>
    <xf numFmtId="0" fontId="3" fillId="15" borderId="18" xfId="0" applyFont="1" applyFill="1" applyBorder="1"/>
    <xf numFmtId="0" fontId="1" fillId="15" borderId="15" xfId="0" applyFont="1" applyFill="1" applyBorder="1"/>
    <xf numFmtId="0" fontId="2" fillId="15" borderId="16" xfId="0" applyFont="1" applyFill="1" applyBorder="1"/>
    <xf numFmtId="0" fontId="3" fillId="15" borderId="18" xfId="0" applyFont="1" applyFill="1" applyBorder="1" applyAlignment="1">
      <alignment wrapText="1"/>
    </xf>
    <xf numFmtId="0" fontId="4" fillId="15" borderId="18" xfId="0" applyFont="1" applyFill="1" applyBorder="1" applyAlignment="1">
      <alignment wrapText="1"/>
    </xf>
    <xf numFmtId="0" fontId="9" fillId="15" borderId="17" xfId="0" applyFont="1" applyFill="1" applyBorder="1" applyAlignment="1">
      <alignment wrapText="1"/>
    </xf>
    <xf numFmtId="0" fontId="3" fillId="15" borderId="19" xfId="0" applyFont="1" applyFill="1" applyBorder="1" applyAlignment="1">
      <alignment wrapText="1"/>
    </xf>
    <xf numFmtId="0" fontId="3" fillId="15" borderId="17" xfId="0" applyFont="1" applyFill="1" applyBorder="1" applyAlignment="1">
      <alignment horizontal="right" wrapText="1"/>
    </xf>
    <xf numFmtId="0" fontId="3" fillId="15" borderId="17" xfId="0" applyFont="1" applyFill="1" applyBorder="1" applyAlignment="1">
      <alignment horizontal="center" wrapText="1"/>
    </xf>
    <xf numFmtId="0" fontId="1" fillId="15" borderId="33" xfId="0" applyFont="1" applyFill="1" applyBorder="1" applyAlignment="1">
      <alignment horizontal="right" wrapText="1"/>
    </xf>
    <xf numFmtId="0" fontId="2" fillId="15" borderId="34" xfId="0" applyFont="1" applyFill="1" applyBorder="1" applyAlignment="1">
      <alignment wrapText="1"/>
    </xf>
    <xf numFmtId="0" fontId="9" fillId="15" borderId="17" xfId="0" applyFont="1" applyFill="1" applyBorder="1"/>
    <xf numFmtId="0" fontId="9" fillId="15" borderId="0" xfId="0" applyFont="1" applyFill="1"/>
    <xf numFmtId="0" fontId="4" fillId="15" borderId="17" xfId="0" applyFont="1" applyFill="1" applyBorder="1" applyAlignment="1">
      <alignment wrapText="1"/>
    </xf>
    <xf numFmtId="0" fontId="9" fillId="15" borderId="17" xfId="0" applyFont="1" applyFill="1" applyBorder="1" applyAlignment="1">
      <alignment vertical="top"/>
    </xf>
    <xf numFmtId="0" fontId="9" fillId="15" borderId="0" xfId="0" applyFont="1" applyFill="1" applyAlignment="1">
      <alignment vertical="top"/>
    </xf>
    <xf numFmtId="0" fontId="2" fillId="2" borderId="35" xfId="0" applyFont="1" applyFill="1" applyBorder="1" applyAlignment="1">
      <alignment wrapText="1"/>
    </xf>
    <xf numFmtId="0" fontId="31" fillId="2" borderId="35" xfId="0" applyFont="1" applyFill="1" applyBorder="1"/>
    <xf numFmtId="0" fontId="2" fillId="2" borderId="35" xfId="0" applyFont="1" applyFill="1" applyBorder="1"/>
    <xf numFmtId="0" fontId="1" fillId="3" borderId="35" xfId="0" applyFont="1" applyFill="1" applyBorder="1" applyAlignment="1">
      <alignment horizontal="right" wrapText="1"/>
    </xf>
    <xf numFmtId="0" fontId="19" fillId="3" borderId="35" xfId="0" applyFont="1" applyFill="1" applyBorder="1"/>
    <xf numFmtId="0" fontId="3" fillId="3" borderId="35" xfId="0" applyFont="1" applyFill="1" applyBorder="1" applyAlignment="1">
      <alignment wrapText="1"/>
    </xf>
    <xf numFmtId="0" fontId="9" fillId="3" borderId="35" xfId="0" applyFont="1" applyFill="1" applyBorder="1"/>
    <xf numFmtId="0" fontId="3" fillId="3" borderId="35" xfId="0" applyFont="1" applyFill="1" applyBorder="1" applyAlignment="1">
      <alignment horizontal="right" wrapText="1"/>
    </xf>
    <xf numFmtId="0" fontId="9" fillId="3" borderId="35" xfId="0" applyFont="1" applyFill="1" applyBorder="1" applyAlignment="1">
      <alignment vertical="top"/>
    </xf>
    <xf numFmtId="0" fontId="9" fillId="3" borderId="35" xfId="0" applyFont="1" applyFill="1" applyBorder="1" applyAlignment="1">
      <alignment horizontal="right" vertical="top"/>
    </xf>
    <xf numFmtId="0" fontId="20" fillId="3" borderId="35" xfId="0" applyFont="1" applyFill="1" applyBorder="1" applyAlignment="1">
      <alignment horizontal="right"/>
    </xf>
    <xf numFmtId="0" fontId="33" fillId="3" borderId="35" xfId="0" applyFont="1" applyFill="1" applyBorder="1"/>
    <xf numFmtId="0" fontId="34" fillId="3" borderId="35" xfId="0" applyFont="1" applyFill="1" applyBorder="1" applyAlignment="1">
      <alignment horizontal="right"/>
    </xf>
    <xf numFmtId="0" fontId="36" fillId="13" borderId="35" xfId="0" applyFont="1" applyFill="1" applyBorder="1"/>
    <xf numFmtId="0" fontId="3" fillId="13" borderId="35" xfId="0" applyFont="1" applyFill="1" applyBorder="1" applyAlignment="1">
      <alignment horizontal="right"/>
    </xf>
    <xf numFmtId="0" fontId="13" fillId="13" borderId="35" xfId="0" applyFont="1" applyFill="1" applyBorder="1" applyAlignment="1">
      <alignment horizontal="right"/>
    </xf>
    <xf numFmtId="0" fontId="3" fillId="13" borderId="35" xfId="0" applyFont="1" applyFill="1" applyBorder="1"/>
    <xf numFmtId="0" fontId="34" fillId="3" borderId="35" xfId="0" applyFont="1" applyFill="1" applyBorder="1"/>
    <xf numFmtId="0" fontId="1" fillId="13" borderId="35" xfId="0" applyFont="1" applyFill="1" applyBorder="1" applyAlignment="1">
      <alignment horizontal="right" wrapText="1"/>
    </xf>
    <xf numFmtId="0" fontId="2" fillId="13" borderId="35" xfId="0" applyFont="1" applyFill="1" applyBorder="1" applyAlignment="1">
      <alignment wrapText="1"/>
    </xf>
    <xf numFmtId="0" fontId="3" fillId="13" borderId="35" xfId="0" applyFont="1" applyFill="1" applyBorder="1" applyAlignment="1">
      <alignment wrapText="1"/>
    </xf>
    <xf numFmtId="0" fontId="9" fillId="13" borderId="35" xfId="0" applyFont="1" applyFill="1" applyBorder="1"/>
    <xf numFmtId="0" fontId="3" fillId="13" borderId="35" xfId="0" applyFont="1" applyFill="1" applyBorder="1" applyAlignment="1">
      <alignment horizontal="right" wrapText="1"/>
    </xf>
    <xf numFmtId="0" fontId="9" fillId="13" borderId="35" xfId="0" applyFont="1" applyFill="1" applyBorder="1" applyAlignment="1">
      <alignment vertical="top"/>
    </xf>
    <xf numFmtId="0" fontId="9" fillId="13" borderId="35" xfId="0" applyFont="1" applyFill="1" applyBorder="1" applyAlignment="1">
      <alignment horizontal="right" vertical="top"/>
    </xf>
    <xf numFmtId="0" fontId="20" fillId="13" borderId="35" xfId="0" applyFont="1" applyFill="1" applyBorder="1" applyAlignment="1">
      <alignment horizontal="right"/>
    </xf>
    <xf numFmtId="0" fontId="37" fillId="13" borderId="35" xfId="0" applyFont="1" applyFill="1" applyBorder="1"/>
    <xf numFmtId="0" fontId="34" fillId="13" borderId="35" xfId="0" applyFont="1" applyFill="1" applyBorder="1" applyAlignment="1">
      <alignment horizontal="right"/>
    </xf>
    <xf numFmtId="0" fontId="38" fillId="3" borderId="35" xfId="0" applyFont="1" applyFill="1" applyBorder="1"/>
    <xf numFmtId="0" fontId="3" fillId="3" borderId="35" xfId="0" applyFont="1" applyFill="1" applyBorder="1" applyAlignment="1">
      <alignment horizontal="right"/>
    </xf>
    <xf numFmtId="0" fontId="3" fillId="3" borderId="35" xfId="0" applyFont="1" applyFill="1" applyBorder="1"/>
    <xf numFmtId="0" fontId="1" fillId="18" borderId="35" xfId="0" applyFont="1" applyFill="1" applyBorder="1" applyAlignment="1">
      <alignment horizontal="right" wrapText="1"/>
    </xf>
    <xf numFmtId="0" fontId="2" fillId="18" borderId="35" xfId="0" applyFont="1" applyFill="1" applyBorder="1" applyAlignment="1">
      <alignment wrapText="1"/>
    </xf>
    <xf numFmtId="0" fontId="3" fillId="18" borderId="35" xfId="0" applyFont="1" applyFill="1" applyBorder="1" applyAlignment="1">
      <alignment wrapText="1"/>
    </xf>
    <xf numFmtId="0" fontId="4" fillId="18" borderId="35" xfId="0" applyFont="1" applyFill="1" applyBorder="1" applyAlignment="1">
      <alignment wrapText="1"/>
    </xf>
    <xf numFmtId="0" fontId="9" fillId="18" borderId="35" xfId="0" applyFont="1" applyFill="1" applyBorder="1" applyAlignment="1">
      <alignment horizontal="right" wrapText="1"/>
    </xf>
    <xf numFmtId="0" fontId="3" fillId="18" borderId="35" xfId="0" applyFont="1" applyFill="1" applyBorder="1" applyAlignment="1">
      <alignment horizontal="right" wrapText="1"/>
    </xf>
    <xf numFmtId="0" fontId="39" fillId="18" borderId="35" xfId="0" applyFont="1" applyFill="1" applyBorder="1"/>
    <xf numFmtId="0" fontId="3" fillId="18" borderId="35" xfId="0" applyFont="1" applyFill="1" applyBorder="1" applyAlignment="1">
      <alignment horizontal="right"/>
    </xf>
    <xf numFmtId="0" fontId="3" fillId="18" borderId="35" xfId="0" applyFont="1" applyFill="1" applyBorder="1"/>
    <xf numFmtId="0" fontId="40" fillId="3" borderId="35" xfId="0" applyFont="1" applyFill="1" applyBorder="1"/>
    <xf numFmtId="0" fontId="2" fillId="3" borderId="35" xfId="0" applyFont="1" applyFill="1" applyBorder="1" applyAlignment="1">
      <alignment wrapText="1"/>
    </xf>
    <xf numFmtId="0" fontId="35" fillId="10" borderId="0" xfId="0" applyFont="1" applyFill="1" applyAlignment="1">
      <alignment horizontal="left"/>
    </xf>
    <xf numFmtId="0" fontId="4" fillId="3" borderId="35" xfId="0" applyFont="1" applyFill="1" applyBorder="1" applyAlignment="1">
      <alignment wrapText="1"/>
    </xf>
    <xf numFmtId="0" fontId="41" fillId="20" borderId="35" xfId="0" applyFont="1" applyFill="1" applyBorder="1"/>
    <xf numFmtId="0" fontId="34" fillId="20" borderId="35" xfId="0" applyFont="1" applyFill="1" applyBorder="1" applyAlignment="1">
      <alignment horizontal="right"/>
    </xf>
    <xf numFmtId="0" fontId="9" fillId="20" borderId="35" xfId="0" applyFont="1" applyFill="1" applyBorder="1"/>
    <xf numFmtId="0" fontId="42" fillId="20" borderId="35" xfId="0" applyFont="1" applyFill="1" applyBorder="1"/>
    <xf numFmtId="0" fontId="3" fillId="20" borderId="35" xfId="0" applyFont="1" applyFill="1" applyBorder="1" applyAlignment="1">
      <alignment horizontal="right"/>
    </xf>
    <xf numFmtId="0" fontId="3" fillId="20" borderId="35" xfId="0" applyFont="1" applyFill="1" applyBorder="1"/>
    <xf numFmtId="0" fontId="13" fillId="20" borderId="35" xfId="0" applyFont="1" applyFill="1" applyBorder="1" applyAlignment="1">
      <alignment horizontal="right"/>
    </xf>
    <xf numFmtId="0" fontId="1" fillId="15" borderId="35" xfId="0" applyFont="1" applyFill="1" applyBorder="1" applyAlignment="1">
      <alignment horizontal="right" wrapText="1"/>
    </xf>
    <xf numFmtId="0" fontId="2" fillId="15" borderId="35" xfId="0" applyFont="1" applyFill="1" applyBorder="1" applyAlignment="1">
      <alignment wrapText="1"/>
    </xf>
    <xf numFmtId="0" fontId="3" fillId="15" borderId="35" xfId="0" applyFont="1" applyFill="1" applyBorder="1" applyAlignment="1">
      <alignment wrapText="1"/>
    </xf>
    <xf numFmtId="0" fontId="35" fillId="15" borderId="0" xfId="0" applyFont="1" applyFill="1" applyAlignment="1">
      <alignment horizontal="left"/>
    </xf>
    <xf numFmtId="0" fontId="4" fillId="15" borderId="35" xfId="0" applyFont="1" applyFill="1" applyBorder="1" applyAlignment="1">
      <alignment wrapText="1"/>
    </xf>
    <xf numFmtId="0" fontId="9" fillId="15" borderId="35" xfId="0" applyFont="1" applyFill="1" applyBorder="1" applyAlignment="1">
      <alignment horizontal="right" wrapText="1"/>
    </xf>
    <xf numFmtId="0" fontId="3" fillId="15" borderId="35" xfId="0" applyFont="1" applyFill="1" applyBorder="1" applyAlignment="1">
      <alignment horizontal="right" wrapText="1"/>
    </xf>
    <xf numFmtId="0" fontId="43" fillId="15" borderId="35" xfId="0" applyFont="1" applyFill="1" applyBorder="1"/>
    <xf numFmtId="0" fontId="3" fillId="15" borderId="35" xfId="0" applyFont="1" applyFill="1" applyBorder="1" applyAlignment="1">
      <alignment horizontal="right"/>
    </xf>
    <xf numFmtId="0" fontId="3" fillId="15" borderId="35" xfId="0" applyFont="1" applyFill="1" applyBorder="1"/>
    <xf numFmtId="0" fontId="13" fillId="15" borderId="35" xfId="0" applyFont="1" applyFill="1" applyBorder="1" applyAlignment="1">
      <alignment horizontal="right"/>
    </xf>
    <xf numFmtId="0" fontId="1" fillId="15" borderId="35" xfId="0" applyFont="1" applyFill="1" applyBorder="1"/>
    <xf numFmtId="0" fontId="2" fillId="15" borderId="35" xfId="0" applyFont="1" applyFill="1" applyBorder="1"/>
    <xf numFmtId="0" fontId="9" fillId="15" borderId="35" xfId="0" applyFont="1" applyFill="1" applyBorder="1" applyAlignment="1">
      <alignment wrapText="1"/>
    </xf>
    <xf numFmtId="0" fontId="3" fillId="15" borderId="35" xfId="0" applyFont="1" applyFill="1" applyBorder="1" applyAlignment="1">
      <alignment horizontal="center" wrapText="1"/>
    </xf>
    <xf numFmtId="0" fontId="9" fillId="15" borderId="35" xfId="0" applyFont="1" applyFill="1" applyBorder="1"/>
    <xf numFmtId="0" fontId="9" fillId="15" borderId="35" xfId="0" applyFont="1" applyFill="1" applyBorder="1" applyAlignment="1">
      <alignment vertical="top"/>
    </xf>
    <xf numFmtId="0" fontId="9" fillId="14" borderId="0" xfId="0" applyFont="1" applyFill="1" applyAlignment="1">
      <alignment vertical="top"/>
    </xf>
    <xf numFmtId="0" fontId="0" fillId="0" borderId="0" xfId="0"/>
    <xf numFmtId="0" fontId="9" fillId="12" borderId="0" xfId="0" applyFont="1" applyFill="1" applyAlignment="1">
      <alignment vertical="top"/>
    </xf>
    <xf numFmtId="0" fontId="20" fillId="12" borderId="0" xfId="0" applyFont="1" applyFill="1" applyAlignment="1">
      <alignment horizontal="left"/>
    </xf>
    <xf numFmtId="0" fontId="1" fillId="6" borderId="0" xfId="0" applyFont="1" applyFill="1"/>
    <xf numFmtId="0" fontId="1" fillId="12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9" fillId="12" borderId="0" xfId="0" applyFont="1" applyFill="1"/>
    <xf numFmtId="0" fontId="1" fillId="15" borderId="7" xfId="0" applyFont="1" applyFill="1" applyBorder="1"/>
    <xf numFmtId="0" fontId="7" fillId="0" borderId="26" xfId="0" applyFont="1" applyBorder="1"/>
    <xf numFmtId="0" fontId="7" fillId="0" borderId="15" xfId="0" applyFont="1" applyBorder="1"/>
    <xf numFmtId="0" fontId="2" fillId="15" borderId="8" xfId="0" applyFont="1" applyFill="1" applyBorder="1"/>
    <xf numFmtId="0" fontId="7" fillId="0" borderId="27" xfId="0" applyFont="1" applyBorder="1"/>
    <xf numFmtId="0" fontId="7" fillId="0" borderId="16" xfId="0" applyFont="1" applyBorder="1"/>
    <xf numFmtId="0" fontId="3" fillId="15" borderId="9" xfId="0" applyFont="1" applyFill="1" applyBorder="1" applyAlignment="1">
      <alignment wrapText="1"/>
    </xf>
    <xf numFmtId="0" fontId="7" fillId="0" borderId="28" xfId="0" applyFont="1" applyBorder="1"/>
    <xf numFmtId="0" fontId="7" fillId="0" borderId="17" xfId="0" applyFont="1" applyBorder="1"/>
    <xf numFmtId="0" fontId="4" fillId="15" borderId="11" xfId="0" applyFont="1" applyFill="1" applyBorder="1" applyAlignment="1">
      <alignment wrapText="1"/>
    </xf>
    <xf numFmtId="0" fontId="7" fillId="0" borderId="18" xfId="0" applyFont="1" applyBorder="1"/>
    <xf numFmtId="0" fontId="9" fillId="15" borderId="9" xfId="0" applyFont="1" applyFill="1" applyBorder="1" applyAlignment="1">
      <alignment wrapText="1"/>
    </xf>
    <xf numFmtId="0" fontId="3" fillId="15" borderId="12" xfId="0" applyFont="1" applyFill="1" applyBorder="1" applyAlignment="1">
      <alignment wrapText="1"/>
    </xf>
    <xf numFmtId="0" fontId="7" fillId="0" borderId="19" xfId="0" applyFont="1" applyBorder="1"/>
    <xf numFmtId="0" fontId="3" fillId="15" borderId="9" xfId="0" applyFont="1" applyFill="1" applyBorder="1" applyAlignment="1">
      <alignment horizontal="right" wrapText="1"/>
    </xf>
    <xf numFmtId="0" fontId="1" fillId="15" borderId="26" xfId="0" applyFont="1" applyFill="1" applyBorder="1"/>
    <xf numFmtId="0" fontId="2" fillId="15" borderId="27" xfId="0" applyFont="1" applyFill="1" applyBorder="1"/>
    <xf numFmtId="0" fontId="3" fillId="15" borderId="28" xfId="0" applyFont="1" applyFill="1" applyBorder="1" applyAlignment="1">
      <alignment wrapText="1"/>
    </xf>
    <xf numFmtId="0" fontId="4" fillId="15" borderId="28" xfId="0" applyFont="1" applyFill="1" applyBorder="1" applyAlignment="1">
      <alignment wrapText="1"/>
    </xf>
    <xf numFmtId="0" fontId="9" fillId="15" borderId="28" xfId="0" applyFont="1" applyFill="1" applyBorder="1" applyAlignment="1">
      <alignment wrapText="1"/>
    </xf>
    <xf numFmtId="0" fontId="3" fillId="15" borderId="28" xfId="0" applyFont="1" applyFill="1" applyBorder="1" applyAlignment="1">
      <alignment horizontal="right" wrapText="1"/>
    </xf>
    <xf numFmtId="0" fontId="3" fillId="3" borderId="9" xfId="0" applyFont="1" applyFill="1" applyBorder="1" applyAlignment="1">
      <alignment horizontal="right" wrapText="1"/>
    </xf>
    <xf numFmtId="0" fontId="7" fillId="4" borderId="17" xfId="0" applyFont="1" applyFill="1" applyBorder="1"/>
    <xf numFmtId="0" fontId="3" fillId="3" borderId="11" xfId="0" applyFont="1" applyFill="1" applyBorder="1" applyAlignment="1">
      <alignment horizontal="right" wrapText="1"/>
    </xf>
    <xf numFmtId="0" fontId="7" fillId="4" borderId="18" xfId="0" applyFont="1" applyFill="1" applyBorder="1"/>
    <xf numFmtId="0" fontId="3" fillId="3" borderId="13" xfId="0" applyFont="1" applyFill="1" applyBorder="1" applyAlignment="1">
      <alignment horizontal="right" wrapText="1"/>
    </xf>
    <xf numFmtId="0" fontId="7" fillId="4" borderId="20" xfId="0" applyFont="1" applyFill="1" applyBorder="1"/>
    <xf numFmtId="0" fontId="3" fillId="3" borderId="9" xfId="0" applyFont="1" applyFill="1" applyBorder="1" applyAlignment="1">
      <alignment wrapText="1"/>
    </xf>
    <xf numFmtId="0" fontId="1" fillId="6" borderId="24" xfId="0" applyFont="1" applyFill="1" applyBorder="1" applyAlignment="1">
      <alignment wrapText="1"/>
    </xf>
    <xf numFmtId="0" fontId="7" fillId="0" borderId="25" xfId="0" applyFont="1" applyBorder="1"/>
    <xf numFmtId="0" fontId="7" fillId="0" borderId="22" xfId="0" applyFont="1" applyBorder="1"/>
    <xf numFmtId="0" fontId="1" fillId="3" borderId="7" xfId="0" applyFont="1" applyFill="1" applyBorder="1" applyAlignment="1">
      <alignment wrapText="1"/>
    </xf>
    <xf numFmtId="0" fontId="7" fillId="4" borderId="15" xfId="0" applyFont="1" applyFill="1" applyBorder="1"/>
    <xf numFmtId="0" fontId="2" fillId="3" borderId="8" xfId="0" applyFont="1" applyFill="1" applyBorder="1" applyAlignment="1">
      <alignment wrapText="1"/>
    </xf>
    <xf numFmtId="0" fontId="7" fillId="4" borderId="16" xfId="0" applyFont="1" applyFill="1" applyBorder="1"/>
    <xf numFmtId="0" fontId="3" fillId="3" borderId="9" xfId="0" quotePrefix="1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7" fillId="4" borderId="19" xfId="0" applyFont="1" applyFill="1" applyBorder="1"/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3" fillId="0" borderId="13" xfId="0" applyFont="1" applyBorder="1" applyAlignment="1">
      <alignment horizontal="right" wrapText="1"/>
    </xf>
    <xf numFmtId="0" fontId="7" fillId="0" borderId="4" xfId="0" applyFont="1" applyBorder="1"/>
    <xf numFmtId="0" fontId="7" fillId="0" borderId="20" xfId="0" applyFont="1" applyBorder="1"/>
    <xf numFmtId="0" fontId="1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16" fillId="0" borderId="0" xfId="0" applyFont="1"/>
    <xf numFmtId="0" fontId="9" fillId="11" borderId="0" xfId="0" applyFont="1" applyFill="1" applyAlignment="1">
      <alignment vertical="top"/>
    </xf>
    <xf numFmtId="0" fontId="20" fillId="11" borderId="0" xfId="0" applyFont="1" applyFill="1" applyAlignment="1">
      <alignment horizontal="left"/>
    </xf>
    <xf numFmtId="0" fontId="3" fillId="7" borderId="28" xfId="0" applyFont="1" applyFill="1" applyBorder="1" applyAlignment="1">
      <alignment wrapText="1"/>
    </xf>
    <xf numFmtId="0" fontId="3" fillId="7" borderId="28" xfId="0" applyFont="1" applyFill="1" applyBorder="1" applyAlignment="1">
      <alignment horizontal="right" wrapText="1"/>
    </xf>
    <xf numFmtId="0" fontId="3" fillId="7" borderId="0" xfId="0" applyFont="1" applyFill="1" applyAlignment="1">
      <alignment horizontal="right" wrapText="1"/>
    </xf>
    <xf numFmtId="0" fontId="3" fillId="7" borderId="4" xfId="0" applyFont="1" applyFill="1" applyBorder="1" applyAlignment="1">
      <alignment horizontal="right" wrapText="1"/>
    </xf>
    <xf numFmtId="0" fontId="1" fillId="7" borderId="26" xfId="0" applyFont="1" applyFill="1" applyBorder="1" applyAlignment="1">
      <alignment wrapText="1"/>
    </xf>
    <xf numFmtId="0" fontId="2" fillId="7" borderId="27" xfId="0" applyFont="1" applyFill="1" applyBorder="1" applyAlignment="1">
      <alignment wrapText="1"/>
    </xf>
    <xf numFmtId="0" fontId="4" fillId="7" borderId="0" xfId="0" applyFont="1" applyFill="1" applyAlignment="1">
      <alignment wrapText="1"/>
    </xf>
    <xf numFmtId="0" fontId="9" fillId="7" borderId="28" xfId="0" applyFont="1" applyFill="1" applyBorder="1" applyAlignment="1">
      <alignment wrapText="1"/>
    </xf>
    <xf numFmtId="0" fontId="3" fillId="7" borderId="27" xfId="0" applyFont="1" applyFill="1" applyBorder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1" fillId="11" borderId="0" xfId="0" applyFont="1" applyFill="1" applyAlignment="1">
      <alignment wrapText="1"/>
    </xf>
    <xf numFmtId="0" fontId="19" fillId="11" borderId="0" xfId="0" applyFont="1" applyFill="1"/>
    <xf numFmtId="0" fontId="3" fillId="11" borderId="0" xfId="0" applyFont="1" applyFill="1" applyAlignment="1">
      <alignment wrapText="1"/>
    </xf>
    <xf numFmtId="0" fontId="9" fillId="11" borderId="0" xfId="0" applyFont="1" applyFill="1"/>
    <xf numFmtId="0" fontId="20" fillId="14" borderId="0" xfId="0" applyFont="1" applyFill="1" applyAlignment="1">
      <alignment horizontal="left"/>
    </xf>
    <xf numFmtId="0" fontId="19" fillId="12" borderId="0" xfId="0" applyFont="1" applyFill="1"/>
    <xf numFmtId="0" fontId="1" fillId="14" borderId="0" xfId="0" applyFont="1" applyFill="1" applyAlignment="1">
      <alignment wrapText="1"/>
    </xf>
    <xf numFmtId="0" fontId="19" fillId="14" borderId="0" xfId="0" applyFont="1" applyFill="1"/>
    <xf numFmtId="0" fontId="3" fillId="14" borderId="0" xfId="0" applyFont="1" applyFill="1" applyAlignment="1">
      <alignment wrapText="1"/>
    </xf>
    <xf numFmtId="0" fontId="9" fillId="14" borderId="0" xfId="0" applyFont="1" applyFill="1"/>
    <xf numFmtId="0" fontId="3" fillId="15" borderId="0" xfId="0" applyFont="1" applyFill="1" applyAlignment="1">
      <alignment horizontal="right" wrapText="1"/>
    </xf>
    <xf numFmtId="0" fontId="3" fillId="15" borderId="4" xfId="0" applyFont="1" applyFill="1" applyBorder="1" applyAlignment="1">
      <alignment horizontal="right" wrapText="1"/>
    </xf>
    <xf numFmtId="0" fontId="4" fillId="15" borderId="0" xfId="0" applyFont="1" applyFill="1" applyAlignment="1">
      <alignment wrapText="1"/>
    </xf>
    <xf numFmtId="0" fontId="3" fillId="15" borderId="27" xfId="0" applyFont="1" applyFill="1" applyBorder="1" applyAlignment="1">
      <alignment wrapText="1"/>
    </xf>
    <xf numFmtId="0" fontId="3" fillId="3" borderId="37" xfId="0" applyFont="1" applyFill="1" applyBorder="1" applyAlignment="1">
      <alignment wrapText="1"/>
    </xf>
    <xf numFmtId="0" fontId="7" fillId="0" borderId="39" xfId="0" applyFont="1" applyBorder="1"/>
    <xf numFmtId="0" fontId="3" fillId="3" borderId="37" xfId="0" applyFont="1" applyFill="1" applyBorder="1" applyAlignment="1">
      <alignment horizontal="right" wrapText="1"/>
    </xf>
    <xf numFmtId="0" fontId="9" fillId="20" borderId="37" xfId="0" applyFont="1" applyFill="1" applyBorder="1" applyAlignment="1">
      <alignment horizontal="right" vertical="top"/>
    </xf>
    <xf numFmtId="0" fontId="1" fillId="3" borderId="37" xfId="0" applyFont="1" applyFill="1" applyBorder="1" applyAlignment="1">
      <alignment horizontal="right" wrapText="1"/>
    </xf>
    <xf numFmtId="0" fontId="2" fillId="3" borderId="37" xfId="0" applyFont="1" applyFill="1" applyBorder="1" applyAlignment="1">
      <alignment wrapText="1"/>
    </xf>
    <xf numFmtId="0" fontId="4" fillId="3" borderId="37" xfId="0" applyFont="1" applyFill="1" applyBorder="1" applyAlignment="1">
      <alignment wrapText="1"/>
    </xf>
    <xf numFmtId="0" fontId="3" fillId="20" borderId="37" xfId="0" applyFont="1" applyFill="1" applyBorder="1" applyAlignment="1">
      <alignment horizontal="right" wrapText="1"/>
    </xf>
    <xf numFmtId="0" fontId="3" fillId="20" borderId="37" xfId="0" applyFont="1" applyFill="1" applyBorder="1" applyAlignment="1">
      <alignment wrapText="1"/>
    </xf>
    <xf numFmtId="0" fontId="32" fillId="6" borderId="36" xfId="0" applyFont="1" applyFill="1" applyBorder="1"/>
    <xf numFmtId="0" fontId="7" fillId="0" borderId="10" xfId="0" applyFont="1" applyBorder="1"/>
    <xf numFmtId="0" fontId="7" fillId="0" borderId="3" xfId="0" applyFont="1" applyBorder="1"/>
    <xf numFmtId="0" fontId="9" fillId="3" borderId="37" xfId="0" applyFont="1" applyFill="1" applyBorder="1" applyAlignment="1">
      <alignment horizontal="right" wrapText="1"/>
    </xf>
    <xf numFmtId="0" fontId="1" fillId="20" borderId="37" xfId="0" applyFont="1" applyFill="1" applyBorder="1" applyAlignment="1">
      <alignment horizontal="right" wrapText="1"/>
    </xf>
    <xf numFmtId="0" fontId="2" fillId="20" borderId="37" xfId="0" applyFont="1" applyFill="1" applyBorder="1" applyAlignment="1">
      <alignment wrapText="1"/>
    </xf>
    <xf numFmtId="0" fontId="4" fillId="20" borderId="37" xfId="0" applyFont="1" applyFill="1" applyBorder="1" applyAlignment="1">
      <alignment wrapText="1"/>
    </xf>
    <xf numFmtId="0" fontId="1" fillId="15" borderId="37" xfId="0" applyFont="1" applyFill="1" applyBorder="1"/>
    <xf numFmtId="0" fontId="7" fillId="0" borderId="38" xfId="0" applyFont="1" applyBorder="1"/>
    <xf numFmtId="0" fontId="2" fillId="15" borderId="37" xfId="0" applyFont="1" applyFill="1" applyBorder="1"/>
    <xf numFmtId="0" fontId="3" fillId="15" borderId="37" xfId="0" applyFont="1" applyFill="1" applyBorder="1" applyAlignment="1">
      <alignment wrapText="1"/>
    </xf>
    <xf numFmtId="0" fontId="4" fillId="15" borderId="37" xfId="0" applyFont="1" applyFill="1" applyBorder="1" applyAlignment="1">
      <alignment wrapText="1"/>
    </xf>
    <xf numFmtId="0" fontId="9" fillId="15" borderId="37" xfId="0" applyFont="1" applyFill="1" applyBorder="1" applyAlignment="1">
      <alignment wrapText="1"/>
    </xf>
    <xf numFmtId="0" fontId="3" fillId="15" borderId="37" xfId="0" applyFont="1" applyFill="1" applyBorder="1" applyAlignment="1">
      <alignment horizontal="right" wrapText="1"/>
    </xf>
    <xf numFmtId="0" fontId="35" fillId="15" borderId="28" xfId="0" applyFont="1" applyFill="1" applyBorder="1" applyAlignment="1">
      <alignment horizontal="left"/>
    </xf>
    <xf numFmtId="0" fontId="3" fillId="13" borderId="37" xfId="0" applyFont="1" applyFill="1" applyBorder="1" applyAlignment="1">
      <alignment horizontal="right" wrapText="1"/>
    </xf>
    <xf numFmtId="0" fontId="9" fillId="13" borderId="37" xfId="0" applyFont="1" applyFill="1" applyBorder="1" applyAlignment="1">
      <alignment horizontal="right" vertical="top"/>
    </xf>
    <xf numFmtId="0" fontId="32" fillId="16" borderId="36" xfId="0" applyFont="1" applyFill="1" applyBorder="1"/>
    <xf numFmtId="0" fontId="1" fillId="13" borderId="37" xfId="0" applyFont="1" applyFill="1" applyBorder="1" applyAlignment="1">
      <alignment horizontal="right" wrapText="1"/>
    </xf>
    <xf numFmtId="0" fontId="2" fillId="13" borderId="37" xfId="0" applyFont="1" applyFill="1" applyBorder="1" applyAlignment="1">
      <alignment wrapText="1"/>
    </xf>
    <xf numFmtId="0" fontId="3" fillId="13" borderId="37" xfId="0" applyFont="1" applyFill="1" applyBorder="1" applyAlignment="1">
      <alignment wrapText="1"/>
    </xf>
    <xf numFmtId="0" fontId="35" fillId="13" borderId="28" xfId="0" applyFont="1" applyFill="1" applyBorder="1" applyAlignment="1">
      <alignment horizontal="left"/>
    </xf>
    <xf numFmtId="0" fontId="4" fillId="13" borderId="37" xfId="0" applyFont="1" applyFill="1" applyBorder="1" applyAlignment="1">
      <alignment wrapText="1"/>
    </xf>
    <xf numFmtId="0" fontId="9" fillId="13" borderId="37" xfId="0" applyFont="1" applyFill="1" applyBorder="1" applyAlignment="1">
      <alignment horizontal="right" wrapText="1"/>
    </xf>
    <xf numFmtId="0" fontId="9" fillId="3" borderId="37" xfId="0" applyFont="1" applyFill="1" applyBorder="1" applyAlignment="1">
      <alignment horizontal="right" vertical="top"/>
    </xf>
    <xf numFmtId="0" fontId="19" fillId="3" borderId="37" xfId="0" applyFont="1" applyFill="1" applyBorder="1"/>
    <xf numFmtId="0" fontId="9" fillId="3" borderId="37" xfId="0" applyFont="1" applyFill="1" applyBorder="1"/>
    <xf numFmtId="0" fontId="9" fillId="3" borderId="37" xfId="0" applyFont="1" applyFill="1" applyBorder="1" applyAlignment="1">
      <alignment vertical="top"/>
    </xf>
    <xf numFmtId="0" fontId="20" fillId="3" borderId="37" xfId="0" applyFont="1" applyFill="1" applyBorder="1" applyAlignment="1">
      <alignment horizontal="right"/>
    </xf>
    <xf numFmtId="0" fontId="1" fillId="17" borderId="36" xfId="0" applyFont="1" applyFill="1" applyBorder="1" applyAlignment="1">
      <alignment horizontal="left" wrapText="1"/>
    </xf>
    <xf numFmtId="0" fontId="1" fillId="3" borderId="37" xfId="0" applyFont="1" applyFill="1" applyBorder="1"/>
    <xf numFmtId="0" fontId="9" fillId="20" borderId="37" xfId="0" applyFont="1" applyFill="1" applyBorder="1" applyAlignment="1">
      <alignment vertical="top"/>
    </xf>
    <xf numFmtId="0" fontId="20" fillId="20" borderId="37" xfId="0" applyFont="1" applyFill="1" applyBorder="1" applyAlignment="1">
      <alignment horizontal="right"/>
    </xf>
    <xf numFmtId="0" fontId="32" fillId="19" borderId="36" xfId="0" applyFont="1" applyFill="1" applyBorder="1"/>
    <xf numFmtId="0" fontId="32" fillId="2" borderId="36" xfId="0" applyFont="1" applyFill="1" applyBorder="1"/>
    <xf numFmtId="0" fontId="9" fillId="20" borderId="3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bs.vlba.nrao.edu/cst/calibsource/14947" TargetMode="External"/><Relationship Id="rId18" Type="http://schemas.openxmlformats.org/officeDocument/2006/relationships/hyperlink" Target="https://obs.vlba.nrao.edu/cst/calibsource/9442" TargetMode="External"/><Relationship Id="rId26" Type="http://schemas.openxmlformats.org/officeDocument/2006/relationships/hyperlink" Target="https://obs.vlba.nrao.edu/cst/calibsource/10221" TargetMode="External"/><Relationship Id="rId3" Type="http://schemas.openxmlformats.org/officeDocument/2006/relationships/hyperlink" Target="https://obs.vlba.nrao.edu/cst/calibsource/15790" TargetMode="External"/><Relationship Id="rId21" Type="http://schemas.openxmlformats.org/officeDocument/2006/relationships/hyperlink" Target="https://obs.vlba.nrao.edu/cst/calibsource/6685" TargetMode="External"/><Relationship Id="rId34" Type="http://schemas.openxmlformats.org/officeDocument/2006/relationships/hyperlink" Target="https://obs.vlba.nrao.edu/cst/calibsource/16534" TargetMode="External"/><Relationship Id="rId7" Type="http://schemas.openxmlformats.org/officeDocument/2006/relationships/hyperlink" Target="https://obs.vlba.nrao.edu/cst/calibsource/15646" TargetMode="External"/><Relationship Id="rId12" Type="http://schemas.openxmlformats.org/officeDocument/2006/relationships/hyperlink" Target="https://obs.vlba.nrao.edu/cst/calibsource/12440" TargetMode="External"/><Relationship Id="rId17" Type="http://schemas.openxmlformats.org/officeDocument/2006/relationships/hyperlink" Target="https://obs.vlba.nrao.edu/cst/calibsource/9389" TargetMode="External"/><Relationship Id="rId25" Type="http://schemas.openxmlformats.org/officeDocument/2006/relationships/hyperlink" Target="https://obs.vlba.nrao.edu/cst/calibsource/10319" TargetMode="External"/><Relationship Id="rId33" Type="http://schemas.openxmlformats.org/officeDocument/2006/relationships/hyperlink" Target="https://obs.vlba.nrao.edu/cst/calibsource/16429" TargetMode="External"/><Relationship Id="rId2" Type="http://schemas.openxmlformats.org/officeDocument/2006/relationships/hyperlink" Target="https://obs.vlba.nrao.edu/cst/calibsource/9892" TargetMode="External"/><Relationship Id="rId16" Type="http://schemas.openxmlformats.org/officeDocument/2006/relationships/hyperlink" Target="https://obs.vlba.nrao.edu/cst/calibsource/14726" TargetMode="External"/><Relationship Id="rId20" Type="http://schemas.openxmlformats.org/officeDocument/2006/relationships/hyperlink" Target="https://obs.vlba.nrao.edu/cst/calibsource/6891" TargetMode="External"/><Relationship Id="rId29" Type="http://schemas.openxmlformats.org/officeDocument/2006/relationships/hyperlink" Target="https://obs.vlba.nrao.edu/cst/calibsource/9866" TargetMode="External"/><Relationship Id="rId1" Type="http://schemas.openxmlformats.org/officeDocument/2006/relationships/hyperlink" Target="https://obs.vlba.nrao.edu/cst/calibsource/10011" TargetMode="External"/><Relationship Id="rId6" Type="http://schemas.openxmlformats.org/officeDocument/2006/relationships/hyperlink" Target="https://obs.vlba.nrao.edu/cst/calibsource/15532" TargetMode="External"/><Relationship Id="rId11" Type="http://schemas.openxmlformats.org/officeDocument/2006/relationships/hyperlink" Target="https://obs.vlba.nrao.edu/cst/calibsource/12386" TargetMode="External"/><Relationship Id="rId24" Type="http://schemas.openxmlformats.org/officeDocument/2006/relationships/hyperlink" Target="https://obs.vlba.nrao.edu/cst/calibsource/10492" TargetMode="External"/><Relationship Id="rId32" Type="http://schemas.openxmlformats.org/officeDocument/2006/relationships/hyperlink" Target="https://obs.vlba.nrao.edu/cst/calibsource/12571" TargetMode="External"/><Relationship Id="rId5" Type="http://schemas.openxmlformats.org/officeDocument/2006/relationships/hyperlink" Target="https://obs.vlba.nrao.edu/cst/calibsource/10286" TargetMode="External"/><Relationship Id="rId15" Type="http://schemas.openxmlformats.org/officeDocument/2006/relationships/hyperlink" Target="https://obs.vlba.nrao.edu/cst/calibsource/7274" TargetMode="External"/><Relationship Id="rId23" Type="http://schemas.openxmlformats.org/officeDocument/2006/relationships/hyperlink" Target="https://obs.vlba.nrao.edu/cst/calibsource/6859" TargetMode="External"/><Relationship Id="rId28" Type="http://schemas.openxmlformats.org/officeDocument/2006/relationships/hyperlink" Target="https://obs.vlba.nrao.edu/cst/calibsource/9772" TargetMode="External"/><Relationship Id="rId10" Type="http://schemas.openxmlformats.org/officeDocument/2006/relationships/hyperlink" Target="https://obs.vlba.nrao.edu/cst/calibsource/14946" TargetMode="External"/><Relationship Id="rId19" Type="http://schemas.openxmlformats.org/officeDocument/2006/relationships/hyperlink" Target="https://obs.vlba.nrao.edu/cst/calibsource/9517" TargetMode="External"/><Relationship Id="rId31" Type="http://schemas.openxmlformats.org/officeDocument/2006/relationships/hyperlink" Target="https://obs.vlba.nrao.edu/cst/calibsource/9805" TargetMode="External"/><Relationship Id="rId4" Type="http://schemas.openxmlformats.org/officeDocument/2006/relationships/hyperlink" Target="https://obs.vlba.nrao.edu/cst/calibsource/11624" TargetMode="External"/><Relationship Id="rId9" Type="http://schemas.openxmlformats.org/officeDocument/2006/relationships/hyperlink" Target="https://obs.vlba.nrao.edu/cst/calibsource/14947" TargetMode="External"/><Relationship Id="rId14" Type="http://schemas.openxmlformats.org/officeDocument/2006/relationships/hyperlink" Target="https://obs.vlba.nrao.edu/cst/calibsource/15060" TargetMode="External"/><Relationship Id="rId22" Type="http://schemas.openxmlformats.org/officeDocument/2006/relationships/hyperlink" Target="https://obs.vlba.nrao.edu/cst/calibsource/7003" TargetMode="External"/><Relationship Id="rId27" Type="http://schemas.openxmlformats.org/officeDocument/2006/relationships/hyperlink" Target="https://obs.vlba.nrao.edu/cst/calibsource/10387" TargetMode="External"/><Relationship Id="rId30" Type="http://schemas.openxmlformats.org/officeDocument/2006/relationships/hyperlink" Target="https://obs.vlba.nrao.edu/cst/calibsource/9935" TargetMode="External"/><Relationship Id="rId35" Type="http://schemas.openxmlformats.org/officeDocument/2006/relationships/hyperlink" Target="https://obs.vlba.nrao.edu/cst/calibsource/16333" TargetMode="External"/><Relationship Id="rId8" Type="http://schemas.openxmlformats.org/officeDocument/2006/relationships/hyperlink" Target="https://obs.vlba.nrao.edu/cst/calibsource/1570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bs.vlba.nrao.edu/cst/calibsource/9517" TargetMode="External"/><Relationship Id="rId18" Type="http://schemas.openxmlformats.org/officeDocument/2006/relationships/hyperlink" Target="https://obs.vlba.nrao.edu/cst/calibsource/15060" TargetMode="External"/><Relationship Id="rId26" Type="http://schemas.openxmlformats.org/officeDocument/2006/relationships/hyperlink" Target="https://obs.vlba.nrao.edu/cst/calibsource/9772" TargetMode="External"/><Relationship Id="rId3" Type="http://schemas.openxmlformats.org/officeDocument/2006/relationships/hyperlink" Target="https://obs.vlba.nrao.edu/cst/calibsource/15646" TargetMode="External"/><Relationship Id="rId21" Type="http://schemas.openxmlformats.org/officeDocument/2006/relationships/hyperlink" Target="https://obs.vlba.nrao.edu/cst/calibsource/10286" TargetMode="External"/><Relationship Id="rId7" Type="http://schemas.openxmlformats.org/officeDocument/2006/relationships/hyperlink" Target="https://obs.vlba.nrao.edu/cst/calibsource/14726" TargetMode="External"/><Relationship Id="rId12" Type="http://schemas.openxmlformats.org/officeDocument/2006/relationships/hyperlink" Target="https://obs.vlba.nrao.edu/cst/calibsource/9442" TargetMode="External"/><Relationship Id="rId17" Type="http://schemas.openxmlformats.org/officeDocument/2006/relationships/hyperlink" Target="https://obs.vlba.nrao.edu/cst/calibsource/14947" TargetMode="External"/><Relationship Id="rId25" Type="http://schemas.openxmlformats.org/officeDocument/2006/relationships/hyperlink" Target="https://obs.vlba.nrao.edu/cst/calibsource/10387" TargetMode="External"/><Relationship Id="rId33" Type="http://schemas.openxmlformats.org/officeDocument/2006/relationships/hyperlink" Target="https://obs.vlba.nrao.edu/cst/calibsource/16333" TargetMode="External"/><Relationship Id="rId2" Type="http://schemas.openxmlformats.org/officeDocument/2006/relationships/hyperlink" Target="https://obs.vlba.nrao.edu/cst/calibsource/15532" TargetMode="External"/><Relationship Id="rId16" Type="http://schemas.openxmlformats.org/officeDocument/2006/relationships/hyperlink" Target="https://obs.vlba.nrao.edu/cst/calibsource/6859" TargetMode="External"/><Relationship Id="rId20" Type="http://schemas.openxmlformats.org/officeDocument/2006/relationships/hyperlink" Target="https://obs.vlba.nrao.edu/cst/calibsource/12440" TargetMode="External"/><Relationship Id="rId29" Type="http://schemas.openxmlformats.org/officeDocument/2006/relationships/hyperlink" Target="https://obs.vlba.nrao.edu/cst/calibsource/9805" TargetMode="External"/><Relationship Id="rId1" Type="http://schemas.openxmlformats.org/officeDocument/2006/relationships/hyperlink" Target="https://obs.vlba.nrao.edu/cst/calibsource/7274" TargetMode="External"/><Relationship Id="rId6" Type="http://schemas.openxmlformats.org/officeDocument/2006/relationships/hyperlink" Target="https://obs.vlba.nrao.edu/cst/calibsource/6685" TargetMode="External"/><Relationship Id="rId11" Type="http://schemas.openxmlformats.org/officeDocument/2006/relationships/hyperlink" Target="https://obs.vlba.nrao.edu/cst/calibsource/9389" TargetMode="External"/><Relationship Id="rId24" Type="http://schemas.openxmlformats.org/officeDocument/2006/relationships/hyperlink" Target="https://obs.vlba.nrao.edu/cst/calibsource/10221" TargetMode="External"/><Relationship Id="rId32" Type="http://schemas.openxmlformats.org/officeDocument/2006/relationships/hyperlink" Target="https://obs.vlba.nrao.edu/cst/calibsource/16534" TargetMode="External"/><Relationship Id="rId5" Type="http://schemas.openxmlformats.org/officeDocument/2006/relationships/hyperlink" Target="https://obs.vlba.nrao.edu/cst/calibsource/6891" TargetMode="External"/><Relationship Id="rId15" Type="http://schemas.openxmlformats.org/officeDocument/2006/relationships/hyperlink" Target="https://obs.vlba.nrao.edu/cst/calibsource/7003" TargetMode="External"/><Relationship Id="rId23" Type="http://schemas.openxmlformats.org/officeDocument/2006/relationships/hyperlink" Target="https://obs.vlba.nrao.edu/cst/calibsource/10319" TargetMode="External"/><Relationship Id="rId28" Type="http://schemas.openxmlformats.org/officeDocument/2006/relationships/hyperlink" Target="https://obs.vlba.nrao.edu/cst/calibsource/9935" TargetMode="External"/><Relationship Id="rId10" Type="http://schemas.openxmlformats.org/officeDocument/2006/relationships/hyperlink" Target="https://obs.vlba.nrao.edu/cst/calibsource/15790" TargetMode="External"/><Relationship Id="rId19" Type="http://schemas.openxmlformats.org/officeDocument/2006/relationships/hyperlink" Target="https://obs.vlba.nrao.edu/cst/calibsource/12386" TargetMode="External"/><Relationship Id="rId31" Type="http://schemas.openxmlformats.org/officeDocument/2006/relationships/hyperlink" Target="https://obs.vlba.nrao.edu/cst/calibsource/16429" TargetMode="External"/><Relationship Id="rId4" Type="http://schemas.openxmlformats.org/officeDocument/2006/relationships/hyperlink" Target="https://obs.vlba.nrao.edu/cst/calibsource/15700" TargetMode="External"/><Relationship Id="rId9" Type="http://schemas.openxmlformats.org/officeDocument/2006/relationships/hyperlink" Target="https://obs.vlba.nrao.edu/cst/calibsource/9892" TargetMode="External"/><Relationship Id="rId14" Type="http://schemas.openxmlformats.org/officeDocument/2006/relationships/hyperlink" Target="https://obs.vlba.nrao.edu/cst/calibsource/11624" TargetMode="External"/><Relationship Id="rId22" Type="http://schemas.openxmlformats.org/officeDocument/2006/relationships/hyperlink" Target="https://obs.vlba.nrao.edu/cst/calibsource/10492" TargetMode="External"/><Relationship Id="rId27" Type="http://schemas.openxmlformats.org/officeDocument/2006/relationships/hyperlink" Target="https://obs.vlba.nrao.edu/cst/calibsource/9866" TargetMode="External"/><Relationship Id="rId30" Type="http://schemas.openxmlformats.org/officeDocument/2006/relationships/hyperlink" Target="https://obs.vlba.nrao.edu/cst/calibsource/12571" TargetMode="External"/><Relationship Id="rId8" Type="http://schemas.openxmlformats.org/officeDocument/2006/relationships/hyperlink" Target="https://obs.vlba.nrao.edu/cst/calibsource/10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43"/>
  <sheetViews>
    <sheetView tabSelected="1" topLeftCell="I1" workbookViewId="0">
      <pane ySplit="1" topLeftCell="A2" activePane="bottomLeft" state="frozen"/>
      <selection pane="bottomLeft" activeCell="V2" sqref="V2:V3"/>
    </sheetView>
  </sheetViews>
  <sheetFormatPr baseColWidth="10" defaultColWidth="12.6640625" defaultRowHeight="15.75" customHeight="1"/>
  <cols>
    <col min="16" max="16" width="15.1640625" customWidth="1"/>
    <col min="29" max="30" width="12.6640625" hidden="1"/>
  </cols>
  <sheetData>
    <row r="1" spans="1:36" ht="45" customHeight="1">
      <c r="A1" s="1" t="s">
        <v>0</v>
      </c>
      <c r="B1" s="2" t="s">
        <v>1</v>
      </c>
      <c r="C1" s="3" t="s">
        <v>2</v>
      </c>
      <c r="D1" s="3"/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5" t="s">
        <v>24</v>
      </c>
      <c r="AA1" s="6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8" t="s">
        <v>33</v>
      </c>
      <c r="AJ1" s="9" t="s">
        <v>34</v>
      </c>
    </row>
    <row r="2" spans="1:36" ht="45" customHeight="1">
      <c r="A2" s="254">
        <v>1</v>
      </c>
      <c r="B2" s="256" t="s">
        <v>35</v>
      </c>
      <c r="C2" s="258" t="s">
        <v>36</v>
      </c>
      <c r="D2" s="10"/>
      <c r="E2" s="259" t="s">
        <v>37</v>
      </c>
      <c r="F2" s="250">
        <v>21</v>
      </c>
      <c r="G2" s="260" t="s">
        <v>38</v>
      </c>
      <c r="H2" s="250" t="s">
        <v>39</v>
      </c>
      <c r="I2" s="250" t="s">
        <v>40</v>
      </c>
      <c r="J2" s="11">
        <v>197.23941500000001</v>
      </c>
      <c r="K2" s="11">
        <v>45.905358300000003</v>
      </c>
      <c r="L2" s="11" t="s">
        <v>41</v>
      </c>
      <c r="M2" s="11" t="s">
        <v>42</v>
      </c>
      <c r="N2" s="250">
        <v>10.16</v>
      </c>
      <c r="O2" s="250">
        <v>12.497517999999999</v>
      </c>
      <c r="P2" s="244">
        <f>N2/O2</f>
        <v>0.81296142161987683</v>
      </c>
      <c r="Q2" s="244">
        <v>2.9409999999999998</v>
      </c>
      <c r="R2" s="244">
        <v>0.129</v>
      </c>
      <c r="S2" s="244">
        <v>6.72</v>
      </c>
      <c r="T2" s="244">
        <v>0.42899999999999999</v>
      </c>
      <c r="U2" s="244">
        <f>Q2/S2</f>
        <v>0.43764880952380952</v>
      </c>
      <c r="V2" s="244">
        <v>-1.6266153999999999</v>
      </c>
      <c r="W2" s="244">
        <v>-0.81407859999999999</v>
      </c>
      <c r="X2" s="244">
        <v>1.36921077</v>
      </c>
      <c r="Y2" s="244">
        <v>4.5835245599999999</v>
      </c>
      <c r="Z2" s="246">
        <f>X2/0.02</f>
        <v>68.460538499999998</v>
      </c>
      <c r="AA2" s="248">
        <f>N2/0.05</f>
        <v>203.2</v>
      </c>
      <c r="AB2" s="12" t="s">
        <v>43</v>
      </c>
      <c r="AC2" s="13">
        <v>0.16</v>
      </c>
      <c r="AD2" s="13">
        <v>0.12</v>
      </c>
      <c r="AE2" s="13">
        <v>1.05</v>
      </c>
      <c r="AF2" s="13">
        <v>9.7000000000000003E-2</v>
      </c>
      <c r="AG2" s="13">
        <v>0.09</v>
      </c>
      <c r="AH2" s="13">
        <v>0.23300000000000001</v>
      </c>
      <c r="AI2" s="14">
        <v>0.215</v>
      </c>
      <c r="AJ2" s="15" t="s">
        <v>44</v>
      </c>
    </row>
    <row r="3" spans="1:36" ht="45" customHeight="1">
      <c r="A3" s="255"/>
      <c r="B3" s="257"/>
      <c r="C3" s="245"/>
      <c r="D3" s="10"/>
      <c r="E3" s="247"/>
      <c r="F3" s="245"/>
      <c r="G3" s="261"/>
      <c r="H3" s="245"/>
      <c r="I3" s="245"/>
      <c r="J3" s="16">
        <v>197.23920000000001</v>
      </c>
      <c r="K3" s="16">
        <v>45.905556699999998</v>
      </c>
      <c r="L3" s="16" t="s">
        <v>45</v>
      </c>
      <c r="M3" s="16" t="s">
        <v>46</v>
      </c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7"/>
      <c r="AA3" s="249"/>
      <c r="AB3" s="17" t="s">
        <v>47</v>
      </c>
      <c r="AC3" s="18">
        <v>0.19</v>
      </c>
      <c r="AD3" s="18">
        <v>0.17</v>
      </c>
      <c r="AE3" s="18">
        <v>1.44</v>
      </c>
      <c r="AF3" s="18">
        <v>0.11799999999999999</v>
      </c>
      <c r="AG3" s="18">
        <v>9.6000000000000002E-2</v>
      </c>
      <c r="AH3" s="18">
        <v>0.13100000000000001</v>
      </c>
      <c r="AI3" s="19">
        <v>0.129</v>
      </c>
      <c r="AJ3" s="15" t="s">
        <v>48</v>
      </c>
    </row>
    <row r="4" spans="1:36" ht="45" customHeight="1">
      <c r="A4" s="20">
        <v>2</v>
      </c>
      <c r="B4" s="21" t="s">
        <v>49</v>
      </c>
      <c r="C4" s="22" t="s">
        <v>50</v>
      </c>
      <c r="D4" s="23"/>
      <c r="E4" s="24" t="s">
        <v>51</v>
      </c>
      <c r="F4" s="25">
        <v>74</v>
      </c>
      <c r="G4" s="26" t="s">
        <v>52</v>
      </c>
      <c r="H4" s="22" t="s">
        <v>53</v>
      </c>
      <c r="I4" s="22" t="s">
        <v>54</v>
      </c>
      <c r="J4" s="27">
        <v>330.816641</v>
      </c>
      <c r="K4" s="27">
        <v>0.57111277999999999</v>
      </c>
      <c r="L4" s="27" t="s">
        <v>55</v>
      </c>
      <c r="M4" s="27" t="s">
        <v>56</v>
      </c>
      <c r="N4" s="22">
        <v>14.31</v>
      </c>
      <c r="O4" s="22">
        <v>17.159786</v>
      </c>
      <c r="P4" s="27">
        <f t="shared" ref="P4:P5" si="0">N4/O4</f>
        <v>0.83392648369857292</v>
      </c>
      <c r="Q4" s="27">
        <v>5.7610000000000001</v>
      </c>
      <c r="R4" s="27">
        <v>0.16700000000000001</v>
      </c>
      <c r="S4" s="27">
        <v>9.2289999999999992</v>
      </c>
      <c r="T4" s="27">
        <v>0.40200000000000002</v>
      </c>
      <c r="U4" s="27">
        <f t="shared" ref="U4:U5" si="1">Q4/S4</f>
        <v>0.62422797702893063</v>
      </c>
      <c r="V4" s="27">
        <v>-1.1938062</v>
      </c>
      <c r="W4" s="27">
        <v>-0.81378470000000003</v>
      </c>
      <c r="X4" s="27">
        <v>3.2871397899999999</v>
      </c>
      <c r="Y4" s="27">
        <v>6.2957130399999999</v>
      </c>
      <c r="Z4" s="28">
        <f t="shared" ref="Z4:Z5" si="2">X4/0.02</f>
        <v>164.3569895</v>
      </c>
      <c r="AA4" s="29">
        <f t="shared" ref="AA4:AA5" si="3">N4/0.05</f>
        <v>286.2</v>
      </c>
      <c r="AB4" s="30" t="s">
        <v>57</v>
      </c>
      <c r="AC4" s="31">
        <v>27.26</v>
      </c>
      <c r="AD4" s="31">
        <v>27.9</v>
      </c>
      <c r="AE4" s="31">
        <v>1.31</v>
      </c>
      <c r="AF4" s="31">
        <v>7.1999999999999995E-2</v>
      </c>
      <c r="AG4" s="31">
        <v>4.8000000000000001E-2</v>
      </c>
      <c r="AH4" s="31">
        <v>5.3999999999999999E-2</v>
      </c>
      <c r="AI4" s="32">
        <v>3.2000000000000001E-2</v>
      </c>
      <c r="AJ4" s="33" t="s">
        <v>58</v>
      </c>
    </row>
    <row r="5" spans="1:36" ht="45" customHeight="1">
      <c r="A5" s="34">
        <v>3</v>
      </c>
      <c r="B5" s="35" t="s">
        <v>59</v>
      </c>
      <c r="C5" s="36" t="s">
        <v>60</v>
      </c>
      <c r="D5" s="10"/>
      <c r="E5" s="37" t="s">
        <v>61</v>
      </c>
      <c r="F5" s="38">
        <v>71</v>
      </c>
      <c r="G5" s="39" t="s">
        <v>62</v>
      </c>
      <c r="H5" s="38" t="s">
        <v>63</v>
      </c>
      <c r="I5" s="38" t="s">
        <v>64</v>
      </c>
      <c r="J5" s="11">
        <v>231.05242799999999</v>
      </c>
      <c r="K5" s="11">
        <v>8.5448145600000007</v>
      </c>
      <c r="L5" s="11" t="s">
        <v>65</v>
      </c>
      <c r="M5" s="11" t="s">
        <v>66</v>
      </c>
      <c r="N5" s="38">
        <v>13.79</v>
      </c>
      <c r="O5" s="38">
        <v>18.943428000000001</v>
      </c>
      <c r="P5" s="11">
        <f t="shared" si="0"/>
        <v>0.72795694633516161</v>
      </c>
      <c r="Q5" s="11">
        <v>7.8179999999999996</v>
      </c>
      <c r="R5" s="11">
        <v>0.14399999999999999</v>
      </c>
      <c r="S5" s="11">
        <v>8.8010000000000002</v>
      </c>
      <c r="T5" s="11">
        <v>0.27</v>
      </c>
      <c r="U5" s="11">
        <f t="shared" si="1"/>
        <v>0.88830814680149972</v>
      </c>
      <c r="V5" s="11">
        <v>-0.7446334</v>
      </c>
      <c r="W5" s="11">
        <v>-1.005841</v>
      </c>
      <c r="X5" s="11">
        <v>5.5093595100000003</v>
      </c>
      <c r="Y5" s="11">
        <v>5.4855448899999999</v>
      </c>
      <c r="Z5" s="40">
        <f t="shared" si="2"/>
        <v>275.46797550000002</v>
      </c>
      <c r="AA5" s="41">
        <f t="shared" si="3"/>
        <v>275.79999999999995</v>
      </c>
      <c r="AB5" s="12" t="s">
        <v>67</v>
      </c>
      <c r="AC5" s="13">
        <v>0.15</v>
      </c>
      <c r="AD5" s="13">
        <v>0.25</v>
      </c>
      <c r="AE5" s="13">
        <v>1.57</v>
      </c>
      <c r="AF5" s="13">
        <v>6.6000000000000003E-2</v>
      </c>
      <c r="AG5" s="13">
        <v>3.7999999999999999E-2</v>
      </c>
      <c r="AH5" s="13">
        <v>0.13100000000000001</v>
      </c>
      <c r="AI5" s="14">
        <v>7.0000000000000007E-2</v>
      </c>
      <c r="AJ5" s="15" t="s">
        <v>68</v>
      </c>
    </row>
    <row r="6" spans="1:36" ht="45" customHeight="1">
      <c r="A6" s="251" t="s">
        <v>69</v>
      </c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3"/>
    </row>
    <row r="7" spans="1:36" ht="45" customHeight="1">
      <c r="A7" s="42">
        <v>4</v>
      </c>
      <c r="B7" s="43" t="s">
        <v>70</v>
      </c>
      <c r="C7" s="44" t="s">
        <v>71</v>
      </c>
      <c r="D7" s="45"/>
      <c r="E7" s="46" t="s">
        <v>72</v>
      </c>
      <c r="F7" s="47">
        <v>37</v>
      </c>
      <c r="G7" s="48" t="s">
        <v>73</v>
      </c>
      <c r="H7" s="44" t="s">
        <v>74</v>
      </c>
      <c r="I7" s="44" t="s">
        <v>75</v>
      </c>
      <c r="J7" s="49">
        <v>203.19008099999999</v>
      </c>
      <c r="K7" s="49">
        <v>26.580387900000002</v>
      </c>
      <c r="L7" s="49" t="s">
        <v>76</v>
      </c>
      <c r="M7" s="49" t="s">
        <v>77</v>
      </c>
      <c r="N7" s="44">
        <v>20.39</v>
      </c>
      <c r="O7" s="44">
        <v>20.764593000000001</v>
      </c>
      <c r="P7" s="49">
        <f t="shared" ref="P7:P8" si="4">N7/O7</f>
        <v>0.98196001241151221</v>
      </c>
      <c r="Q7" s="49">
        <v>9.5429999999999993</v>
      </c>
      <c r="R7" s="49">
        <v>0.121</v>
      </c>
      <c r="S7" s="49">
        <v>10.297000000000001</v>
      </c>
      <c r="T7" s="49">
        <v>0.222</v>
      </c>
      <c r="U7" s="49">
        <f t="shared" ref="U7:U8" si="5">Q7/S7</f>
        <v>0.926774788773429</v>
      </c>
      <c r="V7" s="49">
        <v>-0.99619049999999998</v>
      </c>
      <c r="W7" s="49">
        <v>-0.92029890000000003</v>
      </c>
      <c r="X7" s="49">
        <v>5.9750636400000001</v>
      </c>
      <c r="Y7" s="49">
        <v>6.6812743899999996</v>
      </c>
      <c r="Z7" s="50">
        <f t="shared" ref="Z7:Z8" si="6">X7/0.02</f>
        <v>298.75318199999998</v>
      </c>
      <c r="AA7" s="51">
        <f t="shared" ref="AA7:AA8" si="7">N7/0.05</f>
        <v>407.8</v>
      </c>
      <c r="AB7" s="52" t="s">
        <v>78</v>
      </c>
      <c r="AC7" s="53">
        <v>0.1</v>
      </c>
      <c r="AD7" s="53">
        <v>0.14000000000000001</v>
      </c>
      <c r="AE7" s="53">
        <v>0.85</v>
      </c>
      <c r="AF7" s="53">
        <v>0.24299999999999999</v>
      </c>
      <c r="AG7" s="53">
        <v>0.19900000000000001</v>
      </c>
      <c r="AH7" s="53">
        <v>0.56599999999999995</v>
      </c>
      <c r="AI7" s="54">
        <v>0.45800000000000002</v>
      </c>
      <c r="AJ7" s="55" t="s">
        <v>79</v>
      </c>
    </row>
    <row r="8" spans="1:36" ht="45" customHeight="1">
      <c r="A8" s="268">
        <v>5</v>
      </c>
      <c r="B8" s="269" t="s">
        <v>80</v>
      </c>
      <c r="C8" s="262" t="s">
        <v>81</v>
      </c>
      <c r="D8" s="56"/>
      <c r="E8" s="270" t="s">
        <v>82</v>
      </c>
      <c r="F8" s="271">
        <v>54</v>
      </c>
      <c r="G8" s="272" t="s">
        <v>83</v>
      </c>
      <c r="H8" s="262" t="s">
        <v>84</v>
      </c>
      <c r="I8" s="262" t="s">
        <v>85</v>
      </c>
      <c r="J8" s="263">
        <v>328.108338</v>
      </c>
      <c r="K8" s="263">
        <v>-8.1735802999999994</v>
      </c>
      <c r="L8" s="263" t="s">
        <v>86</v>
      </c>
      <c r="M8" s="263" t="s">
        <v>87</v>
      </c>
      <c r="N8" s="262">
        <v>156.11000000000001</v>
      </c>
      <c r="O8" s="262">
        <v>186.87926999999999</v>
      </c>
      <c r="P8" s="263">
        <f t="shared" si="4"/>
        <v>0.83535215008063779</v>
      </c>
      <c r="Q8" s="263">
        <v>53.16</v>
      </c>
      <c r="R8" s="263">
        <v>0.14899999999999999</v>
      </c>
      <c r="S8" s="263">
        <v>85.713999999999999</v>
      </c>
      <c r="T8" s="263">
        <v>0.38100000000000001</v>
      </c>
      <c r="U8" s="263">
        <f t="shared" si="5"/>
        <v>0.62020206734022443</v>
      </c>
      <c r="V8" s="263">
        <v>-1.4134602000000001</v>
      </c>
      <c r="W8" s="263">
        <v>-1.0227078999999999</v>
      </c>
      <c r="X8" s="263">
        <v>27.3570645</v>
      </c>
      <c r="Y8" s="263">
        <v>53.002536300000003</v>
      </c>
      <c r="Z8" s="264">
        <f t="shared" si="6"/>
        <v>1367.8532250000001</v>
      </c>
      <c r="AA8" s="265">
        <f t="shared" si="7"/>
        <v>3122.2000000000003</v>
      </c>
      <c r="AB8" s="57" t="s">
        <v>88</v>
      </c>
      <c r="AC8" s="58">
        <v>0.21</v>
      </c>
      <c r="AD8" s="58">
        <v>0.13</v>
      </c>
      <c r="AE8" s="59">
        <v>2.2200000000000002</v>
      </c>
      <c r="AF8" s="58">
        <v>5.8999999999999997E-2</v>
      </c>
      <c r="AG8" s="58">
        <v>0.04</v>
      </c>
      <c r="AH8" s="60" t="s">
        <v>89</v>
      </c>
      <c r="AI8" s="61" t="s">
        <v>89</v>
      </c>
      <c r="AJ8" s="62" t="s">
        <v>90</v>
      </c>
    </row>
    <row r="9" spans="1:36" ht="45" customHeight="1">
      <c r="A9" s="224"/>
      <c r="B9" s="227"/>
      <c r="C9" s="230"/>
      <c r="D9" s="56"/>
      <c r="E9" s="215"/>
      <c r="F9" s="230"/>
      <c r="G9" s="227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15"/>
      <c r="AA9" s="266"/>
      <c r="AB9" s="63" t="s">
        <v>91</v>
      </c>
      <c r="AC9" s="64">
        <v>0.41</v>
      </c>
      <c r="AD9" s="64">
        <v>0.89</v>
      </c>
      <c r="AE9" s="64">
        <v>1.32</v>
      </c>
      <c r="AF9" s="65" t="s">
        <v>89</v>
      </c>
      <c r="AG9" s="65" t="s">
        <v>89</v>
      </c>
      <c r="AH9" s="64">
        <v>2.3E-2</v>
      </c>
      <c r="AI9" s="66">
        <v>2.1000000000000001E-2</v>
      </c>
      <c r="AJ9" s="62" t="s">
        <v>92</v>
      </c>
    </row>
    <row r="10" spans="1:36" ht="45" customHeight="1">
      <c r="A10" s="225"/>
      <c r="B10" s="228"/>
      <c r="C10" s="231"/>
      <c r="D10" s="56"/>
      <c r="E10" s="233"/>
      <c r="F10" s="231"/>
      <c r="G10" s="236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3"/>
      <c r="AA10" s="267"/>
      <c r="AB10" s="67" t="s">
        <v>93</v>
      </c>
      <c r="AC10" s="68">
        <v>0.17</v>
      </c>
      <c r="AD10" s="68">
        <v>0.33</v>
      </c>
      <c r="AE10" s="69">
        <v>3.56</v>
      </c>
      <c r="AF10" s="68">
        <v>6.0999999999999999E-2</v>
      </c>
      <c r="AG10" s="68">
        <v>0.04</v>
      </c>
      <c r="AH10" s="68">
        <v>3.7999999999999999E-2</v>
      </c>
      <c r="AI10" s="70">
        <v>2.4E-2</v>
      </c>
      <c r="AJ10" s="71" t="s">
        <v>94</v>
      </c>
    </row>
    <row r="11" spans="1:36" ht="45" customHeight="1">
      <c r="A11" s="280">
        <v>6</v>
      </c>
      <c r="B11" s="281" t="s">
        <v>95</v>
      </c>
      <c r="C11" s="72" t="s">
        <v>96</v>
      </c>
      <c r="D11" s="276" t="s">
        <v>97</v>
      </c>
      <c r="E11" s="282" t="s">
        <v>98</v>
      </c>
      <c r="F11" s="283">
        <v>60</v>
      </c>
      <c r="G11" s="284" t="s">
        <v>99</v>
      </c>
      <c r="H11" s="276" t="s">
        <v>100</v>
      </c>
      <c r="I11" s="276" t="s">
        <v>101</v>
      </c>
      <c r="J11" s="277">
        <v>313.90214200000003</v>
      </c>
      <c r="K11" s="277">
        <v>-0.63658720000000002</v>
      </c>
      <c r="L11" s="277" t="s">
        <v>102</v>
      </c>
      <c r="M11" s="277" t="s">
        <v>103</v>
      </c>
      <c r="N11" s="276">
        <v>14.8</v>
      </c>
      <c r="O11" s="276">
        <v>14.901717</v>
      </c>
      <c r="P11" s="277">
        <f>N11/O11</f>
        <v>0.99317414228172507</v>
      </c>
      <c r="Q11" s="277">
        <v>7.7869999999999999</v>
      </c>
      <c r="R11" s="277">
        <v>0.11899999999999999</v>
      </c>
      <c r="S11" s="277">
        <v>8.23</v>
      </c>
      <c r="T11" s="277">
        <v>0.221</v>
      </c>
      <c r="U11" s="277">
        <f>Q11/S11</f>
        <v>0.94617253948967184</v>
      </c>
      <c r="V11" s="277">
        <v>-0.8425899</v>
      </c>
      <c r="W11" s="277">
        <v>-0.77897810000000001</v>
      </c>
      <c r="X11" s="277">
        <v>5.2405967200000001</v>
      </c>
      <c r="Y11" s="277">
        <v>5.7068286700000002</v>
      </c>
      <c r="Z11" s="278">
        <f>X11/0.02</f>
        <v>262.02983599999999</v>
      </c>
      <c r="AA11" s="279">
        <f>N11/0.05</f>
        <v>296</v>
      </c>
      <c r="AB11" s="73" t="s">
        <v>104</v>
      </c>
      <c r="AC11" s="74">
        <v>0.44</v>
      </c>
      <c r="AD11" s="74">
        <v>0.81</v>
      </c>
      <c r="AE11" s="74">
        <v>0.91</v>
      </c>
      <c r="AF11" s="75" t="s">
        <v>89</v>
      </c>
      <c r="AG11" s="75" t="s">
        <v>89</v>
      </c>
      <c r="AH11" s="74">
        <v>2.5999999999999999E-2</v>
      </c>
      <c r="AI11" s="76">
        <v>1.9E-2</v>
      </c>
      <c r="AJ11" s="55" t="s">
        <v>105</v>
      </c>
    </row>
    <row r="12" spans="1:36" ht="45" customHeight="1">
      <c r="A12" s="225"/>
      <c r="B12" s="228"/>
      <c r="D12" s="231"/>
      <c r="E12" s="233"/>
      <c r="F12" s="231"/>
      <c r="G12" s="236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3"/>
      <c r="AA12" s="267"/>
      <c r="AB12" s="73" t="s">
        <v>106</v>
      </c>
      <c r="AC12" s="74">
        <v>0.21</v>
      </c>
      <c r="AD12" s="74">
        <v>0.38</v>
      </c>
      <c r="AE12" s="74">
        <v>1.35</v>
      </c>
      <c r="AF12" s="74">
        <v>0.36</v>
      </c>
      <c r="AG12" s="74">
        <v>9.7000000000000003E-2</v>
      </c>
      <c r="AH12" s="74">
        <v>0.27200000000000002</v>
      </c>
      <c r="AI12" s="76">
        <v>0.06</v>
      </c>
      <c r="AJ12" s="55" t="s">
        <v>107</v>
      </c>
    </row>
    <row r="13" spans="1:36" ht="45" customHeight="1">
      <c r="A13" s="268">
        <v>7</v>
      </c>
      <c r="B13" s="269" t="s">
        <v>108</v>
      </c>
      <c r="C13" s="273" t="s">
        <v>109</v>
      </c>
      <c r="D13" s="262" t="s">
        <v>110</v>
      </c>
      <c r="E13" s="270" t="s">
        <v>111</v>
      </c>
      <c r="F13" s="262">
        <v>33</v>
      </c>
      <c r="G13" s="272" t="s">
        <v>112</v>
      </c>
      <c r="H13" s="262" t="s">
        <v>113</v>
      </c>
      <c r="I13" s="262" t="s">
        <v>114</v>
      </c>
      <c r="J13" s="263">
        <v>250.455645</v>
      </c>
      <c r="K13" s="263">
        <v>37.309269499999999</v>
      </c>
      <c r="L13" s="263" t="s">
        <v>115</v>
      </c>
      <c r="M13" s="263" t="s">
        <v>116</v>
      </c>
      <c r="N13" s="262">
        <v>22.03</v>
      </c>
      <c r="O13" s="262">
        <v>22.505393999999999</v>
      </c>
      <c r="P13" s="263">
        <f>N13/O13</f>
        <v>0.97887644179879729</v>
      </c>
      <c r="Q13" s="263">
        <v>18.763999999999999</v>
      </c>
      <c r="R13" s="263">
        <v>0.113</v>
      </c>
      <c r="S13" s="263">
        <v>19.471</v>
      </c>
      <c r="T13" s="263">
        <v>0.20100000000000001</v>
      </c>
      <c r="U13" s="263">
        <f>Q13/S13</f>
        <v>0.96368958964614038</v>
      </c>
      <c r="V13" s="263">
        <v>-0.21054529999999999</v>
      </c>
      <c r="W13" s="263">
        <v>-0.19002920000000001</v>
      </c>
      <c r="X13" s="263">
        <v>16.996085900000001</v>
      </c>
      <c r="Y13" s="263">
        <v>17.807358700000002</v>
      </c>
      <c r="Z13" s="285">
        <f>X13/0.02</f>
        <v>849.80429500000002</v>
      </c>
      <c r="AA13" s="286">
        <f>N13/0.05</f>
        <v>440.6</v>
      </c>
      <c r="AB13" s="77" t="s">
        <v>117</v>
      </c>
      <c r="AC13" s="78">
        <v>0.04</v>
      </c>
      <c r="AD13" s="78">
        <v>0.03</v>
      </c>
      <c r="AE13" s="78">
        <v>1.54</v>
      </c>
      <c r="AF13" s="78">
        <v>2.508</v>
      </c>
      <c r="AG13" s="78">
        <v>1.546</v>
      </c>
      <c r="AH13" s="78">
        <v>2.202</v>
      </c>
      <c r="AI13" s="79">
        <v>0.65400000000000003</v>
      </c>
      <c r="AJ13" s="71" t="s">
        <v>118</v>
      </c>
    </row>
    <row r="14" spans="1:36" ht="45" customHeight="1">
      <c r="A14" s="225"/>
      <c r="B14" s="228"/>
      <c r="C14" s="215"/>
      <c r="D14" s="231"/>
      <c r="E14" s="233"/>
      <c r="F14" s="231"/>
      <c r="G14" s="236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3"/>
      <c r="AA14" s="267"/>
      <c r="AB14" s="67" t="s">
        <v>119</v>
      </c>
      <c r="AC14" s="80">
        <v>0.04</v>
      </c>
      <c r="AD14" s="80">
        <v>0.03</v>
      </c>
      <c r="AE14" s="81">
        <v>2.48</v>
      </c>
      <c r="AF14" s="80">
        <v>0.98699999999999999</v>
      </c>
      <c r="AG14" s="80">
        <v>0.82</v>
      </c>
      <c r="AH14" s="80">
        <v>0.82599999999999996</v>
      </c>
      <c r="AI14" s="82">
        <v>0.75900000000000001</v>
      </c>
      <c r="AJ14" s="71" t="s">
        <v>120</v>
      </c>
    </row>
    <row r="15" spans="1:36" ht="45" customHeight="1">
      <c r="A15" s="218" t="s">
        <v>121</v>
      </c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</row>
    <row r="16" spans="1:36" ht="45" customHeight="1">
      <c r="A16" s="287">
        <v>8</v>
      </c>
      <c r="B16" s="288" t="s">
        <v>95</v>
      </c>
      <c r="C16" s="289" t="s">
        <v>122</v>
      </c>
      <c r="D16" s="84"/>
      <c r="E16" s="290" t="s">
        <v>98</v>
      </c>
      <c r="F16" s="289">
        <v>60</v>
      </c>
      <c r="G16" s="274" t="s">
        <v>99</v>
      </c>
      <c r="H16" s="274" t="s">
        <v>100</v>
      </c>
      <c r="I16" s="274" t="s">
        <v>101</v>
      </c>
      <c r="J16" s="274">
        <v>313.90214159905798</v>
      </c>
      <c r="K16" s="274">
        <v>-0.63658723595480105</v>
      </c>
      <c r="L16" s="274" t="s">
        <v>123</v>
      </c>
      <c r="M16" s="274" t="s">
        <v>124</v>
      </c>
      <c r="N16" s="274">
        <v>14.8</v>
      </c>
      <c r="O16" s="274">
        <v>14.901717</v>
      </c>
      <c r="P16" s="274">
        <f>N16/O16</f>
        <v>0.99317414228172507</v>
      </c>
      <c r="Q16" s="274">
        <v>7.7869999999999999</v>
      </c>
      <c r="R16" s="274">
        <v>0.11899999999999999</v>
      </c>
      <c r="S16" s="274">
        <v>8.23</v>
      </c>
      <c r="T16" s="274">
        <v>0.221</v>
      </c>
      <c r="U16" s="274">
        <f>Q16/S16</f>
        <v>0.94617253948967184</v>
      </c>
      <c r="V16" s="274">
        <v>-0.84258989200000001</v>
      </c>
      <c r="W16" s="274">
        <v>-0.77897812200000005</v>
      </c>
      <c r="X16" s="274">
        <v>5.2405967179999999</v>
      </c>
      <c r="Y16" s="274">
        <v>5.7068286710000002</v>
      </c>
      <c r="Z16" s="275">
        <f>X16/0.02</f>
        <v>262.02983589999997</v>
      </c>
      <c r="AA16" s="275">
        <f>N16/0.05</f>
        <v>296</v>
      </c>
      <c r="AB16" s="88" t="s">
        <v>104</v>
      </c>
      <c r="AC16" s="89">
        <v>0.44</v>
      </c>
      <c r="AD16" s="89">
        <v>0.81</v>
      </c>
      <c r="AE16" s="89">
        <v>0.91</v>
      </c>
      <c r="AF16" s="89" t="s">
        <v>89</v>
      </c>
      <c r="AG16" s="89" t="s">
        <v>89</v>
      </c>
      <c r="AH16" s="89">
        <v>2.5999999999999999E-2</v>
      </c>
      <c r="AI16" s="89">
        <v>1.9E-2</v>
      </c>
      <c r="AJ16" s="90" t="s">
        <v>125</v>
      </c>
    </row>
    <row r="17" spans="1:36" ht="45" customHeight="1">
      <c r="A17" s="215"/>
      <c r="B17" s="215"/>
      <c r="C17" s="215"/>
      <c r="D17" s="84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88" t="s">
        <v>126</v>
      </c>
      <c r="AC17" s="89">
        <v>0.14000000000000001</v>
      </c>
      <c r="AD17" s="89">
        <v>0.3</v>
      </c>
      <c r="AE17" s="89">
        <v>2.66</v>
      </c>
      <c r="AF17" s="89">
        <v>0.20399999999999999</v>
      </c>
      <c r="AG17" s="89">
        <v>9.8000000000000004E-2</v>
      </c>
      <c r="AH17" s="89" t="s">
        <v>89</v>
      </c>
      <c r="AI17" s="89" t="s">
        <v>89</v>
      </c>
      <c r="AJ17" s="90" t="s">
        <v>127</v>
      </c>
    </row>
    <row r="18" spans="1:36" ht="45" customHeight="1">
      <c r="A18" s="91">
        <v>9</v>
      </c>
      <c r="B18" s="92" t="s">
        <v>128</v>
      </c>
      <c r="C18" s="93" t="s">
        <v>129</v>
      </c>
      <c r="D18" s="93" t="s">
        <v>130</v>
      </c>
      <c r="E18" s="94" t="s">
        <v>131</v>
      </c>
      <c r="F18" s="93">
        <v>72</v>
      </c>
      <c r="G18" s="95" t="s">
        <v>132</v>
      </c>
      <c r="H18" s="95" t="s">
        <v>133</v>
      </c>
      <c r="I18" s="95" t="s">
        <v>134</v>
      </c>
      <c r="J18" s="95">
        <v>144.15498384903401</v>
      </c>
      <c r="K18" s="95">
        <v>48.474399022147097</v>
      </c>
      <c r="L18" s="95" t="s">
        <v>135</v>
      </c>
      <c r="M18" s="95" t="s">
        <v>136</v>
      </c>
      <c r="N18" s="95">
        <v>16.8</v>
      </c>
      <c r="O18" s="95">
        <v>21.144651</v>
      </c>
      <c r="P18" s="95">
        <f t="shared" ref="P18:P20" si="8">N18/O18</f>
        <v>0.79452718325783678</v>
      </c>
      <c r="Q18" s="95">
        <v>8.0370000000000008</v>
      </c>
      <c r="R18" s="95">
        <v>0.13300000000000001</v>
      </c>
      <c r="S18" s="95">
        <v>9.5579999999999998</v>
      </c>
      <c r="T18" s="95">
        <v>0.25900000000000001</v>
      </c>
      <c r="U18" s="95">
        <f t="shared" ref="U18:U20" si="9">Q18/S18</f>
        <v>0.84086629001883251</v>
      </c>
      <c r="V18" s="95">
        <v>-0.96743768399999996</v>
      </c>
      <c r="W18" s="95">
        <v>-1.0418143799999999</v>
      </c>
      <c r="X18" s="95">
        <v>5.1005922300000002</v>
      </c>
      <c r="Y18" s="95">
        <v>5.857494548</v>
      </c>
      <c r="Z18" s="96">
        <f t="shared" ref="Z18:Z20" si="10">X18/0.02</f>
        <v>255.02961150000002</v>
      </c>
      <c r="AA18" s="96">
        <f t="shared" ref="AA18:AA20" si="11">N18/0.05</f>
        <v>336</v>
      </c>
      <c r="AB18" s="97" t="s">
        <v>137</v>
      </c>
      <c r="AC18" s="98">
        <v>0.15</v>
      </c>
      <c r="AD18" s="98">
        <v>0.11</v>
      </c>
      <c r="AE18" s="98">
        <v>1.68</v>
      </c>
      <c r="AF18" s="98">
        <v>0.25700000000000001</v>
      </c>
      <c r="AG18" s="98">
        <v>0.22900000000000001</v>
      </c>
      <c r="AH18" s="98">
        <v>0.157</v>
      </c>
      <c r="AI18" s="98">
        <v>0.13800000000000001</v>
      </c>
      <c r="AJ18" s="94" t="s">
        <v>138</v>
      </c>
    </row>
    <row r="19" spans="1:36" ht="45" customHeight="1">
      <c r="A19" s="83">
        <v>10</v>
      </c>
      <c r="B19" s="99" t="s">
        <v>139</v>
      </c>
      <c r="C19" s="84" t="s">
        <v>140</v>
      </c>
      <c r="D19" s="84" t="s">
        <v>141</v>
      </c>
      <c r="E19" s="85" t="s">
        <v>142</v>
      </c>
      <c r="F19" s="84">
        <v>39</v>
      </c>
      <c r="G19" s="86" t="s">
        <v>143</v>
      </c>
      <c r="H19" s="86" t="s">
        <v>144</v>
      </c>
      <c r="I19" s="86" t="s">
        <v>145</v>
      </c>
      <c r="J19" s="86">
        <v>311.310808056648</v>
      </c>
      <c r="K19" s="86">
        <v>-5.4843109969541901</v>
      </c>
      <c r="L19" s="86" t="s">
        <v>146</v>
      </c>
      <c r="M19" s="86" t="s">
        <v>147</v>
      </c>
      <c r="N19" s="86">
        <v>10.41</v>
      </c>
      <c r="O19" s="86">
        <v>13.606771999999999</v>
      </c>
      <c r="P19" s="86">
        <f t="shared" si="8"/>
        <v>0.76506022148383179</v>
      </c>
      <c r="Q19" s="86">
        <v>5.97</v>
      </c>
      <c r="R19" s="86">
        <v>0.16900000000000001</v>
      </c>
      <c r="S19" s="86">
        <v>7.5380000000000003</v>
      </c>
      <c r="T19" s="86">
        <v>0.36499999999999999</v>
      </c>
      <c r="U19" s="86">
        <f t="shared" si="9"/>
        <v>0.79198726452639956</v>
      </c>
      <c r="V19" s="86">
        <v>-0.72955089299999998</v>
      </c>
      <c r="W19" s="86">
        <v>-0.77493724900000005</v>
      </c>
      <c r="X19" s="86">
        <v>4.2369995280000001</v>
      </c>
      <c r="Y19" s="86">
        <v>5.2369201900000002</v>
      </c>
      <c r="Z19" s="87">
        <f t="shared" si="10"/>
        <v>211.8499764</v>
      </c>
      <c r="AA19" s="87">
        <f t="shared" si="11"/>
        <v>208.2</v>
      </c>
      <c r="AB19" s="100" t="s">
        <v>148</v>
      </c>
      <c r="AC19" s="101">
        <v>0.13</v>
      </c>
      <c r="AD19" s="101">
        <v>0.21</v>
      </c>
      <c r="AE19" s="101">
        <v>2.69</v>
      </c>
      <c r="AF19" s="101">
        <v>0.44900000000000001</v>
      </c>
      <c r="AG19" s="101">
        <v>0.30299999999999999</v>
      </c>
      <c r="AH19" s="101">
        <v>0.24099999999999999</v>
      </c>
      <c r="AI19" s="101">
        <v>0.13400000000000001</v>
      </c>
      <c r="AJ19" s="85" t="s">
        <v>149</v>
      </c>
    </row>
    <row r="20" spans="1:36" ht="45" customHeight="1">
      <c r="A20" s="219">
        <v>11</v>
      </c>
      <c r="B20" s="292" t="s">
        <v>150</v>
      </c>
      <c r="C20" s="221" t="s">
        <v>140</v>
      </c>
      <c r="D20" s="221" t="s">
        <v>151</v>
      </c>
      <c r="E20" s="222" t="s">
        <v>152</v>
      </c>
      <c r="F20" s="221">
        <v>53</v>
      </c>
      <c r="G20" s="216" t="s">
        <v>153</v>
      </c>
      <c r="H20" s="216" t="s">
        <v>154</v>
      </c>
      <c r="I20" s="216" t="s">
        <v>155</v>
      </c>
      <c r="J20" s="216">
        <v>186.90853608513601</v>
      </c>
      <c r="K20" s="216">
        <v>40.160502682952803</v>
      </c>
      <c r="L20" s="216" t="s">
        <v>156</v>
      </c>
      <c r="M20" s="216" t="s">
        <v>157</v>
      </c>
      <c r="N20" s="216">
        <v>10.130000000000001</v>
      </c>
      <c r="O20" s="216">
        <v>12.908571999999999</v>
      </c>
      <c r="P20" s="216">
        <f t="shared" si="8"/>
        <v>0.78474985459274671</v>
      </c>
      <c r="Q20" s="216">
        <v>4.8579999999999997</v>
      </c>
      <c r="R20" s="216">
        <v>0.13200000000000001</v>
      </c>
      <c r="S20" s="216">
        <v>7.798</v>
      </c>
      <c r="T20" s="216">
        <v>0.32100000000000001</v>
      </c>
      <c r="U20" s="216">
        <f t="shared" si="9"/>
        <v>0.62298025134649904</v>
      </c>
      <c r="V20" s="216">
        <v>-0.96422499500000003</v>
      </c>
      <c r="W20" s="216">
        <v>-0.66132765900000001</v>
      </c>
      <c r="X20" s="216">
        <v>3.0877342940000001</v>
      </c>
      <c r="Y20" s="216">
        <v>5.7146947900000002</v>
      </c>
      <c r="Z20" s="217">
        <f t="shared" si="10"/>
        <v>154.3867147</v>
      </c>
      <c r="AA20" s="217">
        <f t="shared" si="11"/>
        <v>202.6</v>
      </c>
      <c r="AB20" s="97" t="s">
        <v>158</v>
      </c>
      <c r="AC20" s="98">
        <v>0.11</v>
      </c>
      <c r="AD20" s="98">
        <v>0.11</v>
      </c>
      <c r="AE20" s="98">
        <v>2.39</v>
      </c>
      <c r="AF20" s="98">
        <v>0.28199999999999997</v>
      </c>
      <c r="AG20" s="98">
        <v>0.23400000000000001</v>
      </c>
      <c r="AH20" s="98">
        <v>0.192</v>
      </c>
      <c r="AI20" s="98">
        <v>0.13800000000000001</v>
      </c>
      <c r="AJ20" s="94" t="s">
        <v>159</v>
      </c>
    </row>
    <row r="21" spans="1:36" ht="45" customHeight="1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102" t="s">
        <v>160</v>
      </c>
      <c r="AC21" s="103">
        <v>1.5</v>
      </c>
      <c r="AD21" s="103">
        <v>1.1100000000000001</v>
      </c>
      <c r="AE21" s="103">
        <v>0.62</v>
      </c>
      <c r="AF21" s="103">
        <v>3.7999999999999999E-2</v>
      </c>
      <c r="AG21" s="103">
        <v>3.3000000000000002E-2</v>
      </c>
      <c r="AH21" s="103" t="s">
        <v>89</v>
      </c>
      <c r="AI21" s="103" t="s">
        <v>89</v>
      </c>
      <c r="AJ21" s="104" t="s">
        <v>161</v>
      </c>
    </row>
    <row r="22" spans="1:36" ht="45" customHeight="1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105" t="s">
        <v>162</v>
      </c>
      <c r="AC22" s="106">
        <v>2.9</v>
      </c>
      <c r="AD22" s="106">
        <v>2.1</v>
      </c>
      <c r="AE22" s="106">
        <v>0.91</v>
      </c>
      <c r="AF22" s="106" t="s">
        <v>89</v>
      </c>
      <c r="AG22" s="106" t="s">
        <v>89</v>
      </c>
      <c r="AH22" s="106">
        <v>1.2999999999999999E-2</v>
      </c>
      <c r="AI22" s="106">
        <v>1.2E-2</v>
      </c>
      <c r="AJ22" s="104" t="s">
        <v>163</v>
      </c>
    </row>
    <row r="23" spans="1:36" ht="45" customHeight="1">
      <c r="A23" s="293">
        <v>12</v>
      </c>
      <c r="B23" s="294" t="s">
        <v>164</v>
      </c>
      <c r="C23" s="295" t="s">
        <v>165</v>
      </c>
      <c r="D23" s="107"/>
      <c r="E23" s="296" t="s">
        <v>166</v>
      </c>
      <c r="F23" s="295">
        <v>40</v>
      </c>
      <c r="G23" s="214" t="s">
        <v>167</v>
      </c>
      <c r="H23" s="214" t="s">
        <v>168</v>
      </c>
      <c r="I23" s="214" t="s">
        <v>169</v>
      </c>
      <c r="J23" s="214">
        <v>135.758952813202</v>
      </c>
      <c r="K23" s="214">
        <v>40.433993094450898</v>
      </c>
      <c r="L23" s="214" t="s">
        <v>170</v>
      </c>
      <c r="M23" s="214" t="s">
        <v>171</v>
      </c>
      <c r="N23" s="214">
        <v>13.81</v>
      </c>
      <c r="O23" s="214">
        <v>13.5248375</v>
      </c>
      <c r="P23" s="214">
        <f>N23/O23</f>
        <v>1.0210843568360803</v>
      </c>
      <c r="Q23" s="214">
        <v>14.486000000000001</v>
      </c>
      <c r="R23" s="214">
        <v>0.154</v>
      </c>
      <c r="S23" s="214">
        <v>14.852</v>
      </c>
      <c r="T23" s="214">
        <v>0.35199999999999998</v>
      </c>
      <c r="U23" s="214">
        <f>Q23/S23</f>
        <v>0.97535685429571772</v>
      </c>
      <c r="V23" s="214">
        <v>6.2704615000000005E-2</v>
      </c>
      <c r="W23" s="214">
        <v>0.122820899</v>
      </c>
      <c r="X23" s="214">
        <v>14.91927591</v>
      </c>
      <c r="Y23" s="214">
        <v>15.73457947</v>
      </c>
      <c r="Z23" s="291">
        <f>X23/0.02</f>
        <v>745.96379549999995</v>
      </c>
      <c r="AA23" s="291">
        <f>N23/0.05</f>
        <v>276.2</v>
      </c>
      <c r="AB23" s="109" t="s">
        <v>172</v>
      </c>
      <c r="AC23" s="110">
        <v>0.31</v>
      </c>
      <c r="AD23" s="110">
        <v>0.37</v>
      </c>
      <c r="AE23" s="110">
        <v>1.76</v>
      </c>
      <c r="AF23" s="110">
        <v>6.7000000000000004E-2</v>
      </c>
      <c r="AG23" s="110">
        <v>4.7E-2</v>
      </c>
      <c r="AH23" s="110">
        <v>0.04</v>
      </c>
      <c r="AI23" s="110">
        <v>2.8000000000000001E-2</v>
      </c>
      <c r="AJ23" s="108" t="s">
        <v>173</v>
      </c>
    </row>
    <row r="24" spans="1:36" ht="45" customHeight="1">
      <c r="A24" s="215"/>
      <c r="B24" s="215"/>
      <c r="C24" s="215"/>
      <c r="D24" s="107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109" t="s">
        <v>174</v>
      </c>
      <c r="AC24" s="110">
        <v>0.93</v>
      </c>
      <c r="AD24" s="110">
        <v>0.89</v>
      </c>
      <c r="AE24" s="110">
        <v>2.19</v>
      </c>
      <c r="AF24" s="110" t="s">
        <v>89</v>
      </c>
      <c r="AG24" s="110" t="s">
        <v>89</v>
      </c>
      <c r="AH24" s="110">
        <v>7.2999999999999995E-2</v>
      </c>
      <c r="AI24" s="110">
        <v>0.06</v>
      </c>
      <c r="AJ24" s="108" t="s">
        <v>175</v>
      </c>
    </row>
    <row r="25" spans="1:36" ht="45" customHeight="1">
      <c r="A25" s="219">
        <v>13</v>
      </c>
      <c r="B25" s="220" t="s">
        <v>176</v>
      </c>
      <c r="C25" s="221" t="s">
        <v>177</v>
      </c>
      <c r="D25" s="221" t="s">
        <v>178</v>
      </c>
      <c r="E25" s="222" t="s">
        <v>179</v>
      </c>
      <c r="F25" s="221">
        <v>108</v>
      </c>
      <c r="G25" s="216" t="s">
        <v>180</v>
      </c>
      <c r="H25" s="216" t="s">
        <v>181</v>
      </c>
      <c r="I25" s="216" t="s">
        <v>182</v>
      </c>
      <c r="J25" s="216">
        <v>138.74859716503499</v>
      </c>
      <c r="K25" s="216">
        <v>29.730256544930501</v>
      </c>
      <c r="L25" s="216" t="s">
        <v>183</v>
      </c>
      <c r="M25" s="216" t="s">
        <v>184</v>
      </c>
      <c r="N25" s="216">
        <v>11.52</v>
      </c>
      <c r="O25" s="216">
        <v>15.230524000000001</v>
      </c>
      <c r="P25" s="216">
        <f>N25/O25</f>
        <v>0.75637581477827021</v>
      </c>
      <c r="Q25" s="216">
        <v>3.3039999999999998</v>
      </c>
      <c r="R25" s="216">
        <v>0.15</v>
      </c>
      <c r="S25" s="216">
        <v>9.4109999999999996</v>
      </c>
      <c r="T25" s="216">
        <v>0.55900000000000005</v>
      </c>
      <c r="U25" s="216">
        <f>Q25/S25</f>
        <v>0.3510785251301668</v>
      </c>
      <c r="V25" s="216">
        <v>-1.638741851</v>
      </c>
      <c r="W25" s="216">
        <v>-0.63167176800000002</v>
      </c>
      <c r="X25" s="216">
        <v>1.5294668920000001</v>
      </c>
      <c r="Y25" s="216">
        <v>6.9935702720000004</v>
      </c>
      <c r="Z25" s="217">
        <f>X25/0.02</f>
        <v>76.473344600000004</v>
      </c>
      <c r="AA25" s="217">
        <f>N25/0.05</f>
        <v>230.39999999999998</v>
      </c>
      <c r="AB25" s="111" t="s">
        <v>185</v>
      </c>
      <c r="AC25" s="112">
        <v>0.09</v>
      </c>
      <c r="AD25" s="112">
        <v>0.12</v>
      </c>
      <c r="AE25" s="112">
        <v>0.26</v>
      </c>
      <c r="AF25" s="112">
        <v>0.111</v>
      </c>
      <c r="AG25" s="112">
        <v>8.1000000000000003E-2</v>
      </c>
      <c r="AH25" s="112">
        <v>9.1999999999999998E-2</v>
      </c>
      <c r="AI25" s="112">
        <v>7.1999999999999995E-2</v>
      </c>
      <c r="AJ25" s="94" t="s">
        <v>186</v>
      </c>
    </row>
    <row r="26" spans="1:36" ht="45" customHeight="1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97" t="s">
        <v>187</v>
      </c>
      <c r="AC26" s="98">
        <v>0.14000000000000001</v>
      </c>
      <c r="AD26" s="98">
        <v>0.16</v>
      </c>
      <c r="AE26" s="98">
        <v>2.2200000000000002</v>
      </c>
      <c r="AF26" s="98">
        <v>0.18099999999999999</v>
      </c>
      <c r="AG26" s="98">
        <v>0.107</v>
      </c>
      <c r="AH26" s="98">
        <v>0.20599999999999999</v>
      </c>
      <c r="AI26" s="98">
        <v>0.159</v>
      </c>
      <c r="AJ26" s="94" t="s">
        <v>188</v>
      </c>
    </row>
    <row r="27" spans="1:36" ht="45" customHeight="1">
      <c r="A27" s="218" t="s">
        <v>189</v>
      </c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</row>
    <row r="28" spans="1:36" ht="45" customHeight="1">
      <c r="A28" s="223">
        <v>14</v>
      </c>
      <c r="B28" s="226" t="s">
        <v>190</v>
      </c>
      <c r="C28" s="229" t="s">
        <v>191</v>
      </c>
      <c r="D28" s="113"/>
      <c r="E28" s="232" t="s">
        <v>192</v>
      </c>
      <c r="F28" s="234">
        <v>45</v>
      </c>
      <c r="G28" s="235" t="s">
        <v>193</v>
      </c>
      <c r="H28" s="229" t="s">
        <v>194</v>
      </c>
      <c r="I28" s="229" t="s">
        <v>195</v>
      </c>
      <c r="J28" s="237">
        <v>205.282689</v>
      </c>
      <c r="K28" s="237">
        <v>23.282035199999999</v>
      </c>
      <c r="L28" s="237" t="s">
        <v>196</v>
      </c>
      <c r="M28" s="237" t="s">
        <v>197</v>
      </c>
      <c r="N28" s="229">
        <v>29.22</v>
      </c>
      <c r="O28" s="229">
        <v>34.606082999999998</v>
      </c>
      <c r="P28" s="237">
        <f>N28/O28</f>
        <v>0.84436022418370782</v>
      </c>
      <c r="Q28" s="237">
        <v>13.13</v>
      </c>
      <c r="R28" s="237">
        <v>0.151</v>
      </c>
      <c r="S28" s="237">
        <v>17.858000000000001</v>
      </c>
      <c r="T28" s="237">
        <v>0.33</v>
      </c>
      <c r="U28" s="237">
        <f>Q28/S28</f>
        <v>0.73524470825400379</v>
      </c>
      <c r="V28" s="237">
        <v>-1.0496151</v>
      </c>
      <c r="W28" s="237">
        <v>-0.86805290000000002</v>
      </c>
      <c r="X28" s="237">
        <v>8.0171001200000003</v>
      </c>
      <c r="Y28" s="237">
        <v>11.875335099999999</v>
      </c>
      <c r="Z28" s="114">
        <f t="shared" ref="Z28:Z32" si="12">X28/0.02</f>
        <v>400.855006</v>
      </c>
      <c r="AA28" s="115">
        <f t="shared" ref="AA28:AA37" si="13">N28/0.05</f>
        <v>584.4</v>
      </c>
      <c r="AB28" s="116" t="s">
        <v>198</v>
      </c>
      <c r="AC28" s="117">
        <v>0.23</v>
      </c>
      <c r="AD28" s="117">
        <v>0.34</v>
      </c>
      <c r="AE28" s="118">
        <v>2.2200000000000002</v>
      </c>
      <c r="AF28" s="117">
        <v>7.0000000000000007E-2</v>
      </c>
      <c r="AG28" s="117">
        <v>3.5999999999999997E-2</v>
      </c>
      <c r="AH28" s="119" t="s">
        <v>89</v>
      </c>
      <c r="AI28" s="120" t="s">
        <v>89</v>
      </c>
      <c r="AJ28" s="121" t="s">
        <v>199</v>
      </c>
    </row>
    <row r="29" spans="1:36" ht="45" customHeight="1">
      <c r="A29" s="224"/>
      <c r="B29" s="227"/>
      <c r="C29" s="230"/>
      <c r="D29" s="113"/>
      <c r="E29" s="215"/>
      <c r="F29" s="230"/>
      <c r="G29" s="227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122">
        <f t="shared" si="12"/>
        <v>0</v>
      </c>
      <c r="AA29" s="123">
        <f t="shared" si="13"/>
        <v>0</v>
      </c>
      <c r="AB29" s="124" t="s">
        <v>200</v>
      </c>
      <c r="AC29" s="125">
        <v>0.46</v>
      </c>
      <c r="AD29" s="125">
        <v>0.95</v>
      </c>
      <c r="AE29" s="126">
        <v>2.59</v>
      </c>
      <c r="AF29" s="127" t="s">
        <v>89</v>
      </c>
      <c r="AG29" s="127" t="s">
        <v>89</v>
      </c>
      <c r="AH29" s="125">
        <v>1.6E-2</v>
      </c>
      <c r="AI29" s="128">
        <v>1.6E-2</v>
      </c>
      <c r="AJ29" s="121" t="s">
        <v>201</v>
      </c>
    </row>
    <row r="30" spans="1:36" ht="45" customHeight="1">
      <c r="A30" s="224"/>
      <c r="B30" s="227"/>
      <c r="C30" s="230"/>
      <c r="D30" s="113"/>
      <c r="E30" s="215"/>
      <c r="F30" s="230"/>
      <c r="G30" s="227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122">
        <f t="shared" si="12"/>
        <v>0</v>
      </c>
      <c r="AA30" s="123">
        <f t="shared" si="13"/>
        <v>0</v>
      </c>
      <c r="AB30" s="124" t="s">
        <v>202</v>
      </c>
      <c r="AC30" s="125">
        <v>0.03</v>
      </c>
      <c r="AD30" s="125">
        <v>0.03</v>
      </c>
      <c r="AE30" s="126">
        <v>3.44</v>
      </c>
      <c r="AF30" s="125">
        <v>1.0660000000000001</v>
      </c>
      <c r="AG30" s="125">
        <v>0.81299999999999994</v>
      </c>
      <c r="AH30" s="125">
        <v>0.505</v>
      </c>
      <c r="AI30" s="128">
        <v>0.36799999999999999</v>
      </c>
      <c r="AJ30" s="121" t="s">
        <v>203</v>
      </c>
    </row>
    <row r="31" spans="1:36" ht="45" customHeight="1">
      <c r="A31" s="225"/>
      <c r="B31" s="228"/>
      <c r="C31" s="231"/>
      <c r="D31" s="113"/>
      <c r="E31" s="233"/>
      <c r="F31" s="231"/>
      <c r="G31" s="236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122">
        <f t="shared" si="12"/>
        <v>0</v>
      </c>
      <c r="AA31" s="123">
        <f t="shared" si="13"/>
        <v>0</v>
      </c>
      <c r="AB31" s="124" t="s">
        <v>204</v>
      </c>
      <c r="AC31" s="125">
        <v>0.09</v>
      </c>
      <c r="AD31" s="125">
        <v>0.14000000000000001</v>
      </c>
      <c r="AE31" s="126">
        <v>3.88</v>
      </c>
      <c r="AF31" s="125">
        <v>0.22800000000000001</v>
      </c>
      <c r="AG31" s="125">
        <v>0.17199999999999999</v>
      </c>
      <c r="AH31" s="125">
        <v>0.27800000000000002</v>
      </c>
      <c r="AI31" s="128">
        <v>0.184</v>
      </c>
      <c r="AJ31" s="121" t="s">
        <v>205</v>
      </c>
    </row>
    <row r="32" spans="1:36" ht="45" customHeight="1">
      <c r="A32" s="238">
        <v>15</v>
      </c>
      <c r="B32" s="239" t="s">
        <v>206</v>
      </c>
      <c r="C32" s="240" t="s">
        <v>207</v>
      </c>
      <c r="D32" s="129"/>
      <c r="E32" s="241" t="s">
        <v>208</v>
      </c>
      <c r="F32" s="242">
        <v>66</v>
      </c>
      <c r="G32" s="240" t="s">
        <v>209</v>
      </c>
      <c r="H32" s="240" t="s">
        <v>210</v>
      </c>
      <c r="I32" s="240" t="s">
        <v>211</v>
      </c>
      <c r="J32" s="243">
        <v>194.91559699999999</v>
      </c>
      <c r="K32" s="243">
        <v>53.341263099999999</v>
      </c>
      <c r="L32" s="243" t="s">
        <v>212</v>
      </c>
      <c r="M32" s="243" t="s">
        <v>213</v>
      </c>
      <c r="N32" s="240">
        <v>13.62</v>
      </c>
      <c r="O32" s="240">
        <v>19.487703</v>
      </c>
      <c r="P32" s="243">
        <f>N32/O32</f>
        <v>0.69890227698975094</v>
      </c>
      <c r="Q32" s="243">
        <v>5.2320000000000002</v>
      </c>
      <c r="R32" s="243">
        <v>0.14199999999999999</v>
      </c>
      <c r="S32" s="243">
        <v>7.6630000000000003</v>
      </c>
      <c r="T32" s="243">
        <v>0.32400000000000001</v>
      </c>
      <c r="U32" s="243">
        <f>Q32/S32</f>
        <v>0.68276132063160644</v>
      </c>
      <c r="V32" s="243">
        <v>-1.255341</v>
      </c>
      <c r="W32" s="243">
        <v>-1.2246832000000001</v>
      </c>
      <c r="X32" s="243">
        <v>2.9001972999999999</v>
      </c>
      <c r="Y32" s="243">
        <v>4.3093971199999999</v>
      </c>
      <c r="Z32" s="122">
        <f t="shared" si="12"/>
        <v>145.00986499999999</v>
      </c>
      <c r="AA32" s="123">
        <f t="shared" si="13"/>
        <v>272.39999999999998</v>
      </c>
      <c r="AB32" s="124" t="s">
        <v>214</v>
      </c>
      <c r="AC32" s="125">
        <v>0.18</v>
      </c>
      <c r="AD32" s="125">
        <v>0.11</v>
      </c>
      <c r="AE32" s="125">
        <v>1.02</v>
      </c>
      <c r="AF32" s="125">
        <v>0.24199999999999999</v>
      </c>
      <c r="AG32" s="125">
        <v>0.156</v>
      </c>
      <c r="AH32" s="125">
        <v>0.24299999999999999</v>
      </c>
      <c r="AI32" s="128">
        <v>0.14399999999999999</v>
      </c>
      <c r="AJ32" s="121" t="s">
        <v>215</v>
      </c>
    </row>
    <row r="33" spans="1:36" ht="45" customHeight="1">
      <c r="A33" s="224"/>
      <c r="B33" s="227"/>
      <c r="C33" s="230"/>
      <c r="D33" s="129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1"/>
      <c r="R33" s="231"/>
      <c r="S33" s="231"/>
      <c r="T33" s="231"/>
      <c r="U33" s="231"/>
      <c r="V33" s="231"/>
      <c r="W33" s="231"/>
      <c r="X33" s="231"/>
      <c r="Y33" s="231"/>
      <c r="Z33" s="122">
        <f>X34/0.02</f>
        <v>144.15946500000001</v>
      </c>
      <c r="AA33" s="123">
        <f t="shared" si="13"/>
        <v>0</v>
      </c>
      <c r="AB33" s="124" t="s">
        <v>216</v>
      </c>
      <c r="AC33" s="125">
        <v>0.14000000000000001</v>
      </c>
      <c r="AD33" s="125">
        <v>0.11</v>
      </c>
      <c r="AE33" s="125">
        <v>1.66</v>
      </c>
      <c r="AF33" s="125">
        <v>0.17199999999999999</v>
      </c>
      <c r="AG33" s="125">
        <v>8.5000000000000006E-2</v>
      </c>
      <c r="AH33" s="125">
        <v>0.26400000000000001</v>
      </c>
      <c r="AI33" s="128">
        <v>0.214</v>
      </c>
      <c r="AJ33" s="121" t="s">
        <v>217</v>
      </c>
    </row>
    <row r="34" spans="1:36" ht="45" customHeight="1">
      <c r="A34" s="224"/>
      <c r="B34" s="227"/>
      <c r="C34" s="230"/>
      <c r="D34" s="129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43">
        <v>5.2130000000000001</v>
      </c>
      <c r="R34" s="243">
        <v>0.14199999999999999</v>
      </c>
      <c r="S34" s="243">
        <v>7.6310000000000002</v>
      </c>
      <c r="T34" s="243">
        <v>0.32300000000000001</v>
      </c>
      <c r="U34" s="243">
        <f>Q34/S34</f>
        <v>0.68313458262350935</v>
      </c>
      <c r="V34" s="243">
        <v>-1.2601146000000001</v>
      </c>
      <c r="W34" s="243">
        <v>-1.2301738</v>
      </c>
      <c r="X34" s="243">
        <v>2.8831893000000002</v>
      </c>
      <c r="Y34" s="243">
        <v>4.2803412200000004</v>
      </c>
      <c r="Z34" s="122" t="e">
        <f>#REF!/0.02</f>
        <v>#REF!</v>
      </c>
      <c r="AA34" s="123">
        <f t="shared" si="13"/>
        <v>0</v>
      </c>
      <c r="AB34" s="124" t="s">
        <v>218</v>
      </c>
      <c r="AC34" s="125">
        <v>0.64</v>
      </c>
      <c r="AD34" s="125">
        <v>0.35</v>
      </c>
      <c r="AE34" s="126">
        <v>2.2400000000000002</v>
      </c>
      <c r="AF34" s="125">
        <v>2.5000000000000001E-2</v>
      </c>
      <c r="AG34" s="125">
        <v>2.1000000000000001E-2</v>
      </c>
      <c r="AH34" s="127" t="s">
        <v>89</v>
      </c>
      <c r="AI34" s="130" t="s">
        <v>89</v>
      </c>
      <c r="AJ34" s="121" t="s">
        <v>92</v>
      </c>
    </row>
    <row r="35" spans="1:36" ht="45" customHeight="1">
      <c r="A35" s="225"/>
      <c r="B35" s="228"/>
      <c r="C35" s="231"/>
      <c r="D35" s="129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122">
        <f t="shared" ref="Z35:Z37" si="14">X35/0.02</f>
        <v>0</v>
      </c>
      <c r="AA35" s="123">
        <f t="shared" si="13"/>
        <v>0</v>
      </c>
      <c r="AB35" s="124" t="s">
        <v>219</v>
      </c>
      <c r="AC35" s="125">
        <v>1.1499999999999999</v>
      </c>
      <c r="AD35" s="125">
        <v>0.95</v>
      </c>
      <c r="AE35" s="125">
        <v>0.7</v>
      </c>
      <c r="AF35" s="127" t="s">
        <v>89</v>
      </c>
      <c r="AG35" s="127" t="s">
        <v>89</v>
      </c>
      <c r="AH35" s="125">
        <v>3.3000000000000002E-2</v>
      </c>
      <c r="AI35" s="128">
        <v>3.6999999999999998E-2</v>
      </c>
      <c r="AJ35" s="121" t="s">
        <v>92</v>
      </c>
    </row>
    <row r="36" spans="1:36" ht="45" customHeight="1">
      <c r="A36" s="131">
        <v>16</v>
      </c>
      <c r="B36" s="132" t="s">
        <v>220</v>
      </c>
      <c r="C36" s="129" t="s">
        <v>221</v>
      </c>
      <c r="D36" s="133"/>
      <c r="E36" s="134" t="s">
        <v>222</v>
      </c>
      <c r="F36" s="135">
        <v>1236</v>
      </c>
      <c r="G36" s="136" t="s">
        <v>223</v>
      </c>
      <c r="H36" s="129" t="s">
        <v>224</v>
      </c>
      <c r="I36" s="129" t="s">
        <v>225</v>
      </c>
      <c r="J36" s="137">
        <v>253.46757199999999</v>
      </c>
      <c r="K36" s="137">
        <v>39.760168499999999</v>
      </c>
      <c r="L36" s="137" t="s">
        <v>226</v>
      </c>
      <c r="M36" s="137" t="s">
        <v>227</v>
      </c>
      <c r="N36" s="129">
        <v>1394.38</v>
      </c>
      <c r="O36" s="129">
        <v>1420.3646000000001</v>
      </c>
      <c r="P36" s="137">
        <f t="shared" ref="P36:P37" si="15">N36/O36</f>
        <v>0.98170568317458773</v>
      </c>
      <c r="Q36" s="137">
        <v>902.02700000000004</v>
      </c>
      <c r="R36" s="137">
        <v>0.91300000000000003</v>
      </c>
      <c r="S36" s="137">
        <v>1244.8109999999999</v>
      </c>
      <c r="T36" s="137">
        <v>4.556</v>
      </c>
      <c r="U36" s="137">
        <f t="shared" ref="U36:U37" si="16">Q36/S36</f>
        <v>0.7246296827389862</v>
      </c>
      <c r="V36" s="138">
        <v>-0.57149692699999999</v>
      </c>
      <c r="W36" s="137">
        <v>-0.17310449999999999</v>
      </c>
      <c r="X36" s="138">
        <v>689.54973259999997</v>
      </c>
      <c r="Y36" s="137">
        <v>1147.54394</v>
      </c>
      <c r="Z36" s="122">
        <f t="shared" si="14"/>
        <v>34477.486629999999</v>
      </c>
      <c r="AA36" s="123">
        <f t="shared" si="13"/>
        <v>27887.600000000002</v>
      </c>
      <c r="AB36" s="124" t="s">
        <v>228</v>
      </c>
      <c r="AC36" s="125">
        <v>0.04</v>
      </c>
      <c r="AD36" s="125">
        <v>0.03</v>
      </c>
      <c r="AE36" s="125">
        <v>0.73</v>
      </c>
      <c r="AF36" s="125">
        <v>0.27900000000000003</v>
      </c>
      <c r="AG36" s="125">
        <v>0.22900000000000001</v>
      </c>
      <c r="AH36" s="125">
        <v>0.34499999999999997</v>
      </c>
      <c r="AI36" s="128">
        <v>0.32500000000000001</v>
      </c>
      <c r="AJ36" s="121" t="s">
        <v>48</v>
      </c>
    </row>
    <row r="37" spans="1:36" ht="45" customHeight="1">
      <c r="A37" s="238">
        <v>17</v>
      </c>
      <c r="B37" s="239" t="s">
        <v>229</v>
      </c>
      <c r="C37" s="240" t="s">
        <v>230</v>
      </c>
      <c r="D37" s="133"/>
      <c r="E37" s="299" t="s">
        <v>231</v>
      </c>
      <c r="F37" s="240">
        <v>27</v>
      </c>
      <c r="G37" s="300" t="s">
        <v>232</v>
      </c>
      <c r="H37" s="240" t="s">
        <v>233</v>
      </c>
      <c r="I37" s="240" t="s">
        <v>234</v>
      </c>
      <c r="J37" s="243">
        <v>345.92181799999997</v>
      </c>
      <c r="K37" s="243">
        <v>1.0435811800000001</v>
      </c>
      <c r="L37" s="243" t="s">
        <v>235</v>
      </c>
      <c r="M37" s="243" t="s">
        <v>236</v>
      </c>
      <c r="N37" s="240">
        <v>11.46</v>
      </c>
      <c r="O37" s="240">
        <v>13.167244</v>
      </c>
      <c r="P37" s="243">
        <f t="shared" si="15"/>
        <v>0.87034158400953154</v>
      </c>
      <c r="Q37" s="243">
        <v>7.0430000000000001</v>
      </c>
      <c r="R37" s="243">
        <v>0.111</v>
      </c>
      <c r="S37" s="243">
        <v>7.5709999999999997</v>
      </c>
      <c r="T37" s="243">
        <v>0.20300000000000001</v>
      </c>
      <c r="U37" s="243">
        <f t="shared" si="16"/>
        <v>0.93026020340774007</v>
      </c>
      <c r="V37" s="243">
        <v>-0.63876509999999997</v>
      </c>
      <c r="W37" s="243">
        <v>-0.7261225</v>
      </c>
      <c r="X37" s="243">
        <v>5.2164248999999998</v>
      </c>
      <c r="Y37" s="243">
        <v>5.3819186099999996</v>
      </c>
      <c r="Z37" s="297">
        <f t="shared" si="14"/>
        <v>260.82124499999998</v>
      </c>
      <c r="AA37" s="298">
        <f t="shared" si="13"/>
        <v>229.20000000000002</v>
      </c>
      <c r="AB37" s="124" t="s">
        <v>237</v>
      </c>
      <c r="AC37" s="125">
        <v>0.08</v>
      </c>
      <c r="AD37" s="125">
        <v>0.18</v>
      </c>
      <c r="AE37" s="126">
        <v>3.08</v>
      </c>
      <c r="AF37" s="125">
        <v>0.4</v>
      </c>
      <c r="AG37" s="125">
        <v>0.309</v>
      </c>
      <c r="AH37" s="125">
        <v>0.56200000000000006</v>
      </c>
      <c r="AI37" s="128">
        <v>0.436</v>
      </c>
      <c r="AJ37" s="121" t="s">
        <v>238</v>
      </c>
    </row>
    <row r="38" spans="1:36" ht="45" customHeight="1">
      <c r="A38" s="224"/>
      <c r="B38" s="227"/>
      <c r="C38" s="230"/>
      <c r="D38" s="133"/>
      <c r="E38" s="215"/>
      <c r="F38" s="230"/>
      <c r="G38" s="227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15"/>
      <c r="AA38" s="266"/>
      <c r="AB38" s="124" t="s">
        <v>239</v>
      </c>
      <c r="AC38" s="125">
        <v>0.38</v>
      </c>
      <c r="AD38" s="125">
        <v>0.86</v>
      </c>
      <c r="AE38" s="126">
        <v>2.11</v>
      </c>
      <c r="AF38" s="125">
        <v>9.5000000000000001E-2</v>
      </c>
      <c r="AG38" s="125">
        <v>7.4999999999999997E-2</v>
      </c>
      <c r="AH38" s="127" t="s">
        <v>89</v>
      </c>
      <c r="AI38" s="130" t="s">
        <v>89</v>
      </c>
      <c r="AJ38" s="121" t="s">
        <v>240</v>
      </c>
    </row>
    <row r="39" spans="1:36" ht="45" customHeight="1">
      <c r="A39" s="225"/>
      <c r="B39" s="228"/>
      <c r="C39" s="231"/>
      <c r="D39" s="133"/>
      <c r="E39" s="233"/>
      <c r="F39" s="231"/>
      <c r="G39" s="236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3"/>
      <c r="AA39" s="267"/>
      <c r="AB39" s="124" t="s">
        <v>241</v>
      </c>
      <c r="AC39" s="125">
        <v>0.53</v>
      </c>
      <c r="AD39" s="125">
        <v>1.25</v>
      </c>
      <c r="AE39" s="126">
        <v>2.63</v>
      </c>
      <c r="AF39" s="127" t="s">
        <v>89</v>
      </c>
      <c r="AG39" s="127" t="s">
        <v>89</v>
      </c>
      <c r="AH39" s="125">
        <v>3.5000000000000003E-2</v>
      </c>
      <c r="AI39" s="128">
        <v>3.9E-2</v>
      </c>
      <c r="AJ39" s="121" t="s">
        <v>242</v>
      </c>
    </row>
    <row r="40" spans="1:36" ht="45" customHeight="1">
      <c r="A40" s="139">
        <v>18</v>
      </c>
      <c r="B40" s="140" t="s">
        <v>243</v>
      </c>
      <c r="C40" s="129" t="s">
        <v>244</v>
      </c>
      <c r="D40" s="129"/>
      <c r="E40" s="141"/>
      <c r="F40" s="129"/>
      <c r="G40" s="129"/>
      <c r="H40" s="129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</row>
    <row r="41" spans="1:36" ht="45" customHeight="1">
      <c r="A41" s="131">
        <v>19</v>
      </c>
      <c r="B41" s="132" t="s">
        <v>245</v>
      </c>
      <c r="C41" s="129" t="s">
        <v>246</v>
      </c>
      <c r="D41" s="129"/>
      <c r="E41" s="143"/>
      <c r="F41" s="141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5"/>
      <c r="AA41" s="145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spans="1:36" ht="45" customHeight="1">
      <c r="A42" s="131">
        <v>20</v>
      </c>
      <c r="B42" s="132" t="s">
        <v>247</v>
      </c>
      <c r="C42" s="129" t="s">
        <v>246</v>
      </c>
      <c r="D42" s="129"/>
      <c r="E42" s="143"/>
      <c r="F42" s="141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5"/>
      <c r="AA42" s="145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spans="1:36" ht="45" customHeight="1">
      <c r="A43" s="131">
        <v>21</v>
      </c>
      <c r="B43" s="132" t="s">
        <v>248</v>
      </c>
      <c r="C43" s="129" t="s">
        <v>246</v>
      </c>
      <c r="D43" s="129"/>
      <c r="E43" s="143"/>
      <c r="F43" s="141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5"/>
      <c r="AA43" s="145"/>
      <c r="AB43" s="142"/>
      <c r="AC43" s="142"/>
      <c r="AD43" s="142"/>
      <c r="AE43" s="142"/>
      <c r="AF43" s="142"/>
      <c r="AG43" s="142"/>
      <c r="AH43" s="142"/>
      <c r="AI43" s="142"/>
      <c r="AJ43" s="142"/>
    </row>
  </sheetData>
  <mergeCells count="293">
    <mergeCell ref="A37:A39"/>
    <mergeCell ref="B37:B39"/>
    <mergeCell ref="C37:C39"/>
    <mergeCell ref="E37:E39"/>
    <mergeCell ref="F37:F39"/>
    <mergeCell ref="P32:P35"/>
    <mergeCell ref="Q32:Q33"/>
    <mergeCell ref="R32:R33"/>
    <mergeCell ref="S32:S33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P37:P39"/>
    <mergeCell ref="Q37:Q39"/>
    <mergeCell ref="R37:R39"/>
    <mergeCell ref="S37:S39"/>
    <mergeCell ref="T37:T39"/>
    <mergeCell ref="U37:U39"/>
    <mergeCell ref="V37:V39"/>
    <mergeCell ref="W37:W39"/>
    <mergeCell ref="X37:X39"/>
    <mergeCell ref="Y37:Y39"/>
    <mergeCell ref="Z37:Z39"/>
    <mergeCell ref="AA37:AA39"/>
    <mergeCell ref="X20:X22"/>
    <mergeCell ref="Y20:Y22"/>
    <mergeCell ref="Z20:Z22"/>
    <mergeCell ref="AA20:AA22"/>
    <mergeCell ref="AA23:AA24"/>
    <mergeCell ref="A20:A22"/>
    <mergeCell ref="B20:B22"/>
    <mergeCell ref="C20:C22"/>
    <mergeCell ref="D20:D22"/>
    <mergeCell ref="E20:E22"/>
    <mergeCell ref="F20:F22"/>
    <mergeCell ref="G20:G22"/>
    <mergeCell ref="A23:A24"/>
    <mergeCell ref="B23:B24"/>
    <mergeCell ref="C23:C24"/>
    <mergeCell ref="E23:E24"/>
    <mergeCell ref="F23:F24"/>
    <mergeCell ref="G23:G24"/>
    <mergeCell ref="H23:H24"/>
    <mergeCell ref="O20:O22"/>
    <mergeCell ref="P20:P22"/>
    <mergeCell ref="Q20:Q22"/>
    <mergeCell ref="R20:R22"/>
    <mergeCell ref="S20:S22"/>
    <mergeCell ref="H20:H22"/>
    <mergeCell ref="I20:I22"/>
    <mergeCell ref="J20:J22"/>
    <mergeCell ref="K20:K22"/>
    <mergeCell ref="L20:L22"/>
    <mergeCell ref="M20:M22"/>
    <mergeCell ref="N20:N22"/>
    <mergeCell ref="V20:V22"/>
    <mergeCell ref="W20:W22"/>
    <mergeCell ref="T20:T22"/>
    <mergeCell ref="U20:U22"/>
    <mergeCell ref="Y23:Y24"/>
    <mergeCell ref="Z23:Z24"/>
    <mergeCell ref="R23:R24"/>
    <mergeCell ref="S23:S24"/>
    <mergeCell ref="T23:T24"/>
    <mergeCell ref="U23:U24"/>
    <mergeCell ref="V23:V24"/>
    <mergeCell ref="W23:W24"/>
    <mergeCell ref="X23:X24"/>
    <mergeCell ref="Z13:Z14"/>
    <mergeCell ref="AA13:AA14"/>
    <mergeCell ref="AA16:AA17"/>
    <mergeCell ref="A16:A17"/>
    <mergeCell ref="B16:B17"/>
    <mergeCell ref="C16:C17"/>
    <mergeCell ref="E16:E17"/>
    <mergeCell ref="F16:F17"/>
    <mergeCell ref="G16:G17"/>
    <mergeCell ref="H16:H17"/>
    <mergeCell ref="P16:P17"/>
    <mergeCell ref="Q16:Q17"/>
    <mergeCell ref="I16:I17"/>
    <mergeCell ref="J16:J17"/>
    <mergeCell ref="K16:K17"/>
    <mergeCell ref="L16:L17"/>
    <mergeCell ref="M16:M17"/>
    <mergeCell ref="N16:N17"/>
    <mergeCell ref="O16:O17"/>
    <mergeCell ref="A11:A12"/>
    <mergeCell ref="B11:B12"/>
    <mergeCell ref="D11:D12"/>
    <mergeCell ref="E11:E12"/>
    <mergeCell ref="F11:F12"/>
    <mergeCell ref="G11:G12"/>
    <mergeCell ref="H11:H12"/>
    <mergeCell ref="H13:H14"/>
    <mergeCell ref="I13:I14"/>
    <mergeCell ref="Y11:Y12"/>
    <mergeCell ref="Z11:Z12"/>
    <mergeCell ref="AA11:AA12"/>
    <mergeCell ref="P11:P12"/>
    <mergeCell ref="Q11:Q12"/>
    <mergeCell ref="R11:R12"/>
    <mergeCell ref="S11:S12"/>
    <mergeCell ref="T11:T12"/>
    <mergeCell ref="U11:U12"/>
    <mergeCell ref="V11:V12"/>
    <mergeCell ref="I11:I12"/>
    <mergeCell ref="J11:J12"/>
    <mergeCell ref="K11:K12"/>
    <mergeCell ref="L11:L12"/>
    <mergeCell ref="M11:M12"/>
    <mergeCell ref="N11:N12"/>
    <mergeCell ref="O11:O12"/>
    <mergeCell ref="W11:W12"/>
    <mergeCell ref="X11:X12"/>
    <mergeCell ref="Y16:Y17"/>
    <mergeCell ref="Z16:Z17"/>
    <mergeCell ref="R16:R17"/>
    <mergeCell ref="S16:S17"/>
    <mergeCell ref="T16:T17"/>
    <mergeCell ref="U16:U17"/>
    <mergeCell ref="V16:V17"/>
    <mergeCell ref="W16:W17"/>
    <mergeCell ref="X16:X17"/>
    <mergeCell ref="O13:O14"/>
    <mergeCell ref="P13:P14"/>
    <mergeCell ref="Q13:Q14"/>
    <mergeCell ref="R13:R14"/>
    <mergeCell ref="S13:S14"/>
    <mergeCell ref="T13:T14"/>
    <mergeCell ref="U13:U14"/>
    <mergeCell ref="A15:AJ15"/>
    <mergeCell ref="A13:A14"/>
    <mergeCell ref="B13:B14"/>
    <mergeCell ref="C13:C14"/>
    <mergeCell ref="D13:D14"/>
    <mergeCell ref="E13:E14"/>
    <mergeCell ref="F13:F14"/>
    <mergeCell ref="G13:G14"/>
    <mergeCell ref="J13:J14"/>
    <mergeCell ref="K13:K14"/>
    <mergeCell ref="L13:L14"/>
    <mergeCell ref="M13:M14"/>
    <mergeCell ref="N13:N14"/>
    <mergeCell ref="V13:V14"/>
    <mergeCell ref="W13:W14"/>
    <mergeCell ref="X13:X14"/>
    <mergeCell ref="Y13:Y14"/>
    <mergeCell ref="T8:T10"/>
    <mergeCell ref="U8:U10"/>
    <mergeCell ref="V8:V10"/>
    <mergeCell ref="A8:A10"/>
    <mergeCell ref="B8:B10"/>
    <mergeCell ref="C8:C10"/>
    <mergeCell ref="E8:E10"/>
    <mergeCell ref="F8:F10"/>
    <mergeCell ref="G8:G10"/>
    <mergeCell ref="H8:H10"/>
    <mergeCell ref="A6:AJ6"/>
    <mergeCell ref="A2:A3"/>
    <mergeCell ref="B2:B3"/>
    <mergeCell ref="C2:C3"/>
    <mergeCell ref="E2:E3"/>
    <mergeCell ref="F2:F3"/>
    <mergeCell ref="G2:G3"/>
    <mergeCell ref="H2:H3"/>
    <mergeCell ref="I8:I10"/>
    <mergeCell ref="J8:J10"/>
    <mergeCell ref="K8:K10"/>
    <mergeCell ref="L8:L10"/>
    <mergeCell ref="M8:M10"/>
    <mergeCell ref="N8:N10"/>
    <mergeCell ref="O8:O10"/>
    <mergeCell ref="W8:W10"/>
    <mergeCell ref="X8:X10"/>
    <mergeCell ref="Y8:Y10"/>
    <mergeCell ref="Z8:Z10"/>
    <mergeCell ref="AA8:AA10"/>
    <mergeCell ref="P8:P10"/>
    <mergeCell ref="Q8:Q10"/>
    <mergeCell ref="R8:R10"/>
    <mergeCell ref="S8:S10"/>
    <mergeCell ref="T2:T3"/>
    <mergeCell ref="U2:U3"/>
    <mergeCell ref="V2:V3"/>
    <mergeCell ref="W2:W3"/>
    <mergeCell ref="X2:X3"/>
    <mergeCell ref="Y2:Y3"/>
    <mergeCell ref="Z2:Z3"/>
    <mergeCell ref="AA2:AA3"/>
    <mergeCell ref="I2:I3"/>
    <mergeCell ref="N2:N3"/>
    <mergeCell ref="O2:O3"/>
    <mergeCell ref="P2:P3"/>
    <mergeCell ref="Q2:Q3"/>
    <mergeCell ref="R2:R3"/>
    <mergeCell ref="S2:S3"/>
    <mergeCell ref="W32:W33"/>
    <mergeCell ref="X32:X33"/>
    <mergeCell ref="Y32:Y33"/>
    <mergeCell ref="Q34:Q35"/>
    <mergeCell ref="R34:R35"/>
    <mergeCell ref="S34:S35"/>
    <mergeCell ref="T34:T35"/>
    <mergeCell ref="W34:W35"/>
    <mergeCell ref="X34:X35"/>
    <mergeCell ref="Y34:Y35"/>
    <mergeCell ref="U34:U35"/>
    <mergeCell ref="V34:V35"/>
    <mergeCell ref="T32:T33"/>
    <mergeCell ref="U32:U33"/>
    <mergeCell ref="V32:V33"/>
    <mergeCell ref="O28:O31"/>
    <mergeCell ref="A32:A35"/>
    <mergeCell ref="B32:B35"/>
    <mergeCell ref="C32:C35"/>
    <mergeCell ref="E32:E35"/>
    <mergeCell ref="F32:F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23:P24"/>
    <mergeCell ref="Q23:Q24"/>
    <mergeCell ref="R28:R31"/>
    <mergeCell ref="S28:S31"/>
    <mergeCell ref="T28:T31"/>
    <mergeCell ref="U28:U31"/>
    <mergeCell ref="V28:V31"/>
    <mergeCell ref="P28:P31"/>
    <mergeCell ref="Q28:Q31"/>
    <mergeCell ref="A27:AJ27"/>
    <mergeCell ref="A25:A26"/>
    <mergeCell ref="B25:B26"/>
    <mergeCell ref="C25:C26"/>
    <mergeCell ref="D25:D26"/>
    <mergeCell ref="E25:E26"/>
    <mergeCell ref="F25:F26"/>
    <mergeCell ref="G25:G26"/>
    <mergeCell ref="A28:A31"/>
    <mergeCell ref="B28:B31"/>
    <mergeCell ref="C28:C31"/>
    <mergeCell ref="E28:E31"/>
    <mergeCell ref="F28:F31"/>
    <mergeCell ref="G28:G31"/>
    <mergeCell ref="H28:H31"/>
    <mergeCell ref="W28:W31"/>
    <mergeCell ref="X28:X31"/>
    <mergeCell ref="Y28:Y31"/>
    <mergeCell ref="I28:I31"/>
    <mergeCell ref="J28:J31"/>
    <mergeCell ref="K28:K31"/>
    <mergeCell ref="L28:L31"/>
    <mergeCell ref="M28:M31"/>
    <mergeCell ref="N28:N31"/>
    <mergeCell ref="V25:V26"/>
    <mergeCell ref="W25:W26"/>
    <mergeCell ref="X25:X26"/>
    <mergeCell ref="Y25:Y26"/>
    <mergeCell ref="Z25:Z26"/>
    <mergeCell ref="AA25:AA26"/>
    <mergeCell ref="O25:O26"/>
    <mergeCell ref="P25:P26"/>
    <mergeCell ref="Q25:Q26"/>
    <mergeCell ref="R25:R26"/>
    <mergeCell ref="S25:S26"/>
    <mergeCell ref="T25:T26"/>
    <mergeCell ref="U25:U26"/>
    <mergeCell ref="I23:I24"/>
    <mergeCell ref="J23:J24"/>
    <mergeCell ref="K23:K24"/>
    <mergeCell ref="L23:L24"/>
    <mergeCell ref="M23:M24"/>
    <mergeCell ref="N23:N24"/>
    <mergeCell ref="O23:O24"/>
    <mergeCell ref="H25:H26"/>
    <mergeCell ref="I25:I26"/>
    <mergeCell ref="J25:J26"/>
    <mergeCell ref="K25:K26"/>
    <mergeCell ref="L25:L26"/>
    <mergeCell ref="M25:M26"/>
    <mergeCell ref="N25:N26"/>
  </mergeCells>
  <hyperlinks>
    <hyperlink ref="AB2" r:id="rId1" xr:uid="{00000000-0004-0000-0000-000000000000}"/>
    <hyperlink ref="AB3" r:id="rId2" xr:uid="{00000000-0004-0000-0000-000001000000}"/>
    <hyperlink ref="AB4" r:id="rId3" xr:uid="{00000000-0004-0000-0000-000002000000}"/>
    <hyperlink ref="AB5" r:id="rId4" xr:uid="{00000000-0004-0000-0000-000003000000}"/>
    <hyperlink ref="AB7" r:id="rId5" xr:uid="{00000000-0004-0000-0000-000004000000}"/>
    <hyperlink ref="AB8" r:id="rId6" xr:uid="{00000000-0004-0000-0000-000005000000}"/>
    <hyperlink ref="AB9" r:id="rId7" xr:uid="{00000000-0004-0000-0000-000006000000}"/>
    <hyperlink ref="AB10" r:id="rId8" xr:uid="{00000000-0004-0000-0000-000007000000}"/>
    <hyperlink ref="AB11" r:id="rId9" xr:uid="{00000000-0004-0000-0000-000008000000}"/>
    <hyperlink ref="AB12" r:id="rId10" xr:uid="{00000000-0004-0000-0000-000009000000}"/>
    <hyperlink ref="AB13" r:id="rId11" xr:uid="{00000000-0004-0000-0000-00000A000000}"/>
    <hyperlink ref="AB14" r:id="rId12" xr:uid="{00000000-0004-0000-0000-00000B000000}"/>
    <hyperlink ref="AB16" r:id="rId13" xr:uid="{00000000-0004-0000-0000-00000C000000}"/>
    <hyperlink ref="AB17" r:id="rId14" xr:uid="{00000000-0004-0000-0000-00000D000000}"/>
    <hyperlink ref="AB18" r:id="rId15" xr:uid="{00000000-0004-0000-0000-00000E000000}"/>
    <hyperlink ref="AB19" r:id="rId16" xr:uid="{00000000-0004-0000-0000-00000F000000}"/>
    <hyperlink ref="AB20" r:id="rId17" xr:uid="{00000000-0004-0000-0000-000010000000}"/>
    <hyperlink ref="AB21" r:id="rId18" xr:uid="{00000000-0004-0000-0000-000011000000}"/>
    <hyperlink ref="AB22" r:id="rId19" xr:uid="{00000000-0004-0000-0000-000012000000}"/>
    <hyperlink ref="AB23" r:id="rId20" xr:uid="{00000000-0004-0000-0000-000013000000}"/>
    <hyperlink ref="AB24" r:id="rId21" xr:uid="{00000000-0004-0000-0000-000014000000}"/>
    <hyperlink ref="AB25" r:id="rId22" xr:uid="{00000000-0004-0000-0000-000015000000}"/>
    <hyperlink ref="AB26" r:id="rId23" xr:uid="{00000000-0004-0000-0000-000016000000}"/>
    <hyperlink ref="AB28" r:id="rId24" xr:uid="{00000000-0004-0000-0000-000017000000}"/>
    <hyperlink ref="AB29" r:id="rId25" xr:uid="{00000000-0004-0000-0000-000018000000}"/>
    <hyperlink ref="AB30" r:id="rId26" xr:uid="{00000000-0004-0000-0000-000019000000}"/>
    <hyperlink ref="AB31" r:id="rId27" xr:uid="{00000000-0004-0000-0000-00001A000000}"/>
    <hyperlink ref="AB32" r:id="rId28" xr:uid="{00000000-0004-0000-0000-00001B000000}"/>
    <hyperlink ref="AB33" r:id="rId29" xr:uid="{00000000-0004-0000-0000-00001C000000}"/>
    <hyperlink ref="AB34" r:id="rId30" xr:uid="{00000000-0004-0000-0000-00001D000000}"/>
    <hyperlink ref="AB35" r:id="rId31" xr:uid="{00000000-0004-0000-0000-00001E000000}"/>
    <hyperlink ref="AB36" r:id="rId32" xr:uid="{00000000-0004-0000-0000-00001F000000}"/>
    <hyperlink ref="AB37" r:id="rId33" xr:uid="{00000000-0004-0000-0000-000020000000}"/>
    <hyperlink ref="AB38" r:id="rId34" xr:uid="{00000000-0004-0000-0000-000021000000}"/>
    <hyperlink ref="AB39" r:id="rId35" xr:uid="{00000000-0004-0000-0000-00002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L4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38" ht="45" customHeight="1">
      <c r="A1" s="146" t="s">
        <v>0</v>
      </c>
      <c r="B1" s="146" t="s">
        <v>1</v>
      </c>
      <c r="C1" s="146" t="s">
        <v>2</v>
      </c>
      <c r="D1" s="146" t="s">
        <v>249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6" t="s">
        <v>12</v>
      </c>
      <c r="O1" s="146" t="s">
        <v>13</v>
      </c>
      <c r="P1" s="146" t="s">
        <v>14</v>
      </c>
      <c r="Q1" s="146" t="s">
        <v>15</v>
      </c>
      <c r="R1" s="146" t="s">
        <v>16</v>
      </c>
      <c r="S1" s="146" t="s">
        <v>17</v>
      </c>
      <c r="T1" s="146" t="s">
        <v>18</v>
      </c>
      <c r="U1" s="146" t="s">
        <v>19</v>
      </c>
      <c r="V1" s="146" t="s">
        <v>20</v>
      </c>
      <c r="W1" s="146" t="s">
        <v>250</v>
      </c>
      <c r="X1" s="146" t="s">
        <v>21</v>
      </c>
      <c r="Y1" s="146" t="s">
        <v>251</v>
      </c>
      <c r="Z1" s="146" t="s">
        <v>22</v>
      </c>
      <c r="AA1" s="146" t="s">
        <v>23</v>
      </c>
      <c r="AB1" s="146" t="s">
        <v>24</v>
      </c>
      <c r="AC1" s="146" t="s">
        <v>25</v>
      </c>
      <c r="AD1" s="147" t="s">
        <v>26</v>
      </c>
      <c r="AE1" s="147" t="s">
        <v>27</v>
      </c>
      <c r="AF1" s="147" t="s">
        <v>28</v>
      </c>
      <c r="AG1" s="147" t="s">
        <v>29</v>
      </c>
      <c r="AH1" s="147" t="s">
        <v>30</v>
      </c>
      <c r="AI1" s="147" t="s">
        <v>31</v>
      </c>
      <c r="AJ1" s="147" t="s">
        <v>32</v>
      </c>
      <c r="AK1" s="147" t="s">
        <v>33</v>
      </c>
      <c r="AL1" s="148" t="s">
        <v>34</v>
      </c>
    </row>
    <row r="2" spans="1:38" ht="17">
      <c r="A2" s="327" t="s">
        <v>252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1"/>
      <c r="AL2" s="312"/>
    </row>
    <row r="3" spans="1:38" ht="61">
      <c r="A3" s="149">
        <v>1</v>
      </c>
      <c r="B3" s="150" t="s">
        <v>128</v>
      </c>
      <c r="C3" s="151" t="s">
        <v>129</v>
      </c>
      <c r="D3" s="151" t="s">
        <v>130</v>
      </c>
      <c r="E3" s="152" t="s">
        <v>131</v>
      </c>
      <c r="F3" s="153">
        <v>72</v>
      </c>
      <c r="G3" s="154" t="s">
        <v>132</v>
      </c>
      <c r="H3" s="154" t="s">
        <v>133</v>
      </c>
      <c r="I3" s="154" t="s">
        <v>134</v>
      </c>
      <c r="J3" s="155">
        <v>144.15498384903401</v>
      </c>
      <c r="K3" s="155">
        <v>48.474399022147097</v>
      </c>
      <c r="L3" s="154" t="s">
        <v>135</v>
      </c>
      <c r="M3" s="154" t="s">
        <v>136</v>
      </c>
      <c r="N3" s="155">
        <v>16.8</v>
      </c>
      <c r="O3" s="155">
        <v>21.144651</v>
      </c>
      <c r="P3" s="155">
        <f t="shared" ref="P3:P4" si="0">N3/O3</f>
        <v>0.79452718325783678</v>
      </c>
      <c r="Q3" s="155">
        <v>8.0370000000000008</v>
      </c>
      <c r="R3" s="155">
        <v>0.13300000000000001</v>
      </c>
      <c r="S3" s="155">
        <v>9.5579999999999998</v>
      </c>
      <c r="T3" s="155">
        <v>0.25900000000000001</v>
      </c>
      <c r="U3" s="155">
        <f t="shared" ref="U3:U4" si="1">Q3/S3</f>
        <v>0.84086629001883251</v>
      </c>
      <c r="V3" s="155">
        <v>-0.96743768399999996</v>
      </c>
      <c r="W3" s="155" t="str">
        <f>IF(V3&gt;=-0.3, "Flat",IF(V3&gt;-0.5, "Middle", "Steep"))</f>
        <v>Steep</v>
      </c>
      <c r="X3" s="155">
        <v>-1.0418143799999999</v>
      </c>
      <c r="Y3" s="155" t="s">
        <v>253</v>
      </c>
      <c r="Z3" s="155">
        <v>5.1005922300000002</v>
      </c>
      <c r="AA3" s="155">
        <v>5.857494548</v>
      </c>
      <c r="AB3" s="156">
        <f t="shared" ref="AB3:AB4" si="2">Z3/0.02</f>
        <v>255.02961150000002</v>
      </c>
      <c r="AC3" s="156">
        <f t="shared" ref="AC3:AC4" si="3">N3/0.05</f>
        <v>336</v>
      </c>
      <c r="AD3" s="157" t="s">
        <v>137</v>
      </c>
      <c r="AE3" s="158">
        <v>0.15</v>
      </c>
      <c r="AF3" s="158">
        <v>0.11</v>
      </c>
      <c r="AG3" s="158">
        <v>1.68</v>
      </c>
      <c r="AH3" s="158">
        <v>0.25700000000000001</v>
      </c>
      <c r="AI3" s="158">
        <v>0.22900000000000001</v>
      </c>
      <c r="AJ3" s="158">
        <v>0.157</v>
      </c>
      <c r="AK3" s="158">
        <v>0.13800000000000001</v>
      </c>
      <c r="AL3" s="152" t="s">
        <v>138</v>
      </c>
    </row>
    <row r="4" spans="1:38" ht="14">
      <c r="A4" s="328">
        <v>2</v>
      </c>
      <c r="B4" s="329" t="s">
        <v>80</v>
      </c>
      <c r="C4" s="330" t="s">
        <v>140</v>
      </c>
      <c r="D4" s="331" t="s">
        <v>254</v>
      </c>
      <c r="E4" s="332" t="s">
        <v>82</v>
      </c>
      <c r="F4" s="333">
        <v>54</v>
      </c>
      <c r="G4" s="330" t="s">
        <v>83</v>
      </c>
      <c r="H4" s="330" t="s">
        <v>84</v>
      </c>
      <c r="I4" s="330" t="s">
        <v>85</v>
      </c>
      <c r="J4" s="325">
        <v>328.108338</v>
      </c>
      <c r="K4" s="325">
        <v>-8.1735802999999994</v>
      </c>
      <c r="L4" s="325" t="s">
        <v>86</v>
      </c>
      <c r="M4" s="325" t="s">
        <v>87</v>
      </c>
      <c r="N4" s="325">
        <v>156.11000000000001</v>
      </c>
      <c r="O4" s="325">
        <v>186.87926999999999</v>
      </c>
      <c r="P4" s="325">
        <f t="shared" si="0"/>
        <v>0.83535215008063779</v>
      </c>
      <c r="Q4" s="325">
        <v>53.16</v>
      </c>
      <c r="R4" s="325">
        <v>0.14899999999999999</v>
      </c>
      <c r="S4" s="325">
        <v>85.713999999999999</v>
      </c>
      <c r="T4" s="325">
        <v>0.38100000000000001</v>
      </c>
      <c r="U4" s="325">
        <f t="shared" si="1"/>
        <v>0.62020206734022443</v>
      </c>
      <c r="V4" s="325">
        <v>-1.4134602000000001</v>
      </c>
      <c r="W4" s="326" t="s">
        <v>253</v>
      </c>
      <c r="X4" s="325">
        <v>-1.0227078999999999</v>
      </c>
      <c r="Y4" s="325" t="s">
        <v>253</v>
      </c>
      <c r="Z4" s="325">
        <v>27.3570645</v>
      </c>
      <c r="AA4" s="325">
        <v>53.002536300000003</v>
      </c>
      <c r="AB4" s="325">
        <f t="shared" si="2"/>
        <v>1367.8532250000001</v>
      </c>
      <c r="AC4" s="325">
        <f t="shared" si="3"/>
        <v>3122.2000000000003</v>
      </c>
      <c r="AD4" s="159" t="s">
        <v>88</v>
      </c>
      <c r="AE4" s="160">
        <v>0.21</v>
      </c>
      <c r="AF4" s="160">
        <v>0.13</v>
      </c>
      <c r="AG4" s="161">
        <v>2.2200000000000002</v>
      </c>
      <c r="AH4" s="160">
        <v>5.8999999999999997E-2</v>
      </c>
      <c r="AI4" s="160">
        <v>0.04</v>
      </c>
      <c r="AJ4" s="162" t="s">
        <v>89</v>
      </c>
      <c r="AK4" s="162" t="s">
        <v>89</v>
      </c>
      <c r="AL4" s="162" t="s">
        <v>90</v>
      </c>
    </row>
    <row r="5" spans="1:38" ht="14">
      <c r="A5" s="318"/>
      <c r="B5" s="318"/>
      <c r="C5" s="318"/>
      <c r="D5" s="230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159" t="s">
        <v>91</v>
      </c>
      <c r="AE5" s="160">
        <v>0.41</v>
      </c>
      <c r="AF5" s="160">
        <v>0.89</v>
      </c>
      <c r="AG5" s="160">
        <v>1.32</v>
      </c>
      <c r="AH5" s="162" t="s">
        <v>89</v>
      </c>
      <c r="AI5" s="162" t="s">
        <v>89</v>
      </c>
      <c r="AJ5" s="160">
        <v>2.3E-2</v>
      </c>
      <c r="AK5" s="160">
        <v>2.1000000000000001E-2</v>
      </c>
      <c r="AL5" s="162" t="s">
        <v>92</v>
      </c>
    </row>
    <row r="6" spans="1:38" ht="14">
      <c r="A6" s="302"/>
      <c r="B6" s="302"/>
      <c r="C6" s="302"/>
      <c r="D6" s="231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159" t="s">
        <v>93</v>
      </c>
      <c r="AE6" s="160">
        <v>0.17</v>
      </c>
      <c r="AF6" s="160">
        <v>0.33</v>
      </c>
      <c r="AG6" s="161">
        <v>3.56</v>
      </c>
      <c r="AH6" s="160">
        <v>6.0999999999999999E-2</v>
      </c>
      <c r="AI6" s="160">
        <v>0.04</v>
      </c>
      <c r="AJ6" s="160">
        <v>3.7999999999999999E-2</v>
      </c>
      <c r="AK6" s="160">
        <v>2.4E-2</v>
      </c>
      <c r="AL6" s="162" t="s">
        <v>94</v>
      </c>
    </row>
    <row r="7" spans="1:38" ht="14">
      <c r="A7" s="305">
        <v>3</v>
      </c>
      <c r="B7" s="335" t="s">
        <v>164</v>
      </c>
      <c r="C7" s="301" t="s">
        <v>255</v>
      </c>
      <c r="D7" s="336" t="s">
        <v>256</v>
      </c>
      <c r="E7" s="336" t="s">
        <v>166</v>
      </c>
      <c r="F7" s="303">
        <v>40</v>
      </c>
      <c r="G7" s="337" t="s">
        <v>167</v>
      </c>
      <c r="H7" s="337" t="s">
        <v>168</v>
      </c>
      <c r="I7" s="337" t="s">
        <v>169</v>
      </c>
      <c r="J7" s="334">
        <v>135.758952813202</v>
      </c>
      <c r="K7" s="334">
        <v>40.433993094450898</v>
      </c>
      <c r="L7" s="337" t="s">
        <v>170</v>
      </c>
      <c r="M7" s="337" t="s">
        <v>171</v>
      </c>
      <c r="N7" s="334">
        <v>13.81</v>
      </c>
      <c r="O7" s="334">
        <v>13.5248375</v>
      </c>
      <c r="P7" s="334">
        <f>N7/O7</f>
        <v>1.0210843568360803</v>
      </c>
      <c r="Q7" s="334">
        <v>14.486000000000001</v>
      </c>
      <c r="R7" s="334">
        <v>0.154</v>
      </c>
      <c r="S7" s="334">
        <v>14.852</v>
      </c>
      <c r="T7" s="334">
        <v>0.35199999999999998</v>
      </c>
      <c r="U7" s="334">
        <f>Q7/S7</f>
        <v>0.97535685429571772</v>
      </c>
      <c r="V7" s="334">
        <v>6.2704615000000005E-2</v>
      </c>
      <c r="W7" s="334" t="s">
        <v>257</v>
      </c>
      <c r="X7" s="334">
        <v>0.122820899</v>
      </c>
      <c r="Y7" s="334" t="s">
        <v>257</v>
      </c>
      <c r="Z7" s="334">
        <v>14.91927591</v>
      </c>
      <c r="AA7" s="334">
        <v>15.73457947</v>
      </c>
      <c r="AB7" s="338">
        <f>Z7/0.02</f>
        <v>745.96379549999995</v>
      </c>
      <c r="AC7" s="338">
        <f>N7/0.05</f>
        <v>276.2</v>
      </c>
      <c r="AD7" s="157" t="s">
        <v>172</v>
      </c>
      <c r="AE7" s="158">
        <v>0.31</v>
      </c>
      <c r="AF7" s="158">
        <v>0.37</v>
      </c>
      <c r="AG7" s="158">
        <v>1.76</v>
      </c>
      <c r="AH7" s="158">
        <v>6.7000000000000004E-2</v>
      </c>
      <c r="AI7" s="158">
        <v>4.7E-2</v>
      </c>
      <c r="AJ7" s="158">
        <v>0.04</v>
      </c>
      <c r="AK7" s="158">
        <v>2.8000000000000001E-2</v>
      </c>
      <c r="AL7" s="152" t="s">
        <v>173</v>
      </c>
    </row>
    <row r="8" spans="1:38" ht="14">
      <c r="A8" s="302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157" t="s">
        <v>174</v>
      </c>
      <c r="AE8" s="158">
        <v>0.93</v>
      </c>
      <c r="AF8" s="158">
        <v>0.89</v>
      </c>
      <c r="AG8" s="158">
        <v>2.19</v>
      </c>
      <c r="AH8" s="163" t="s">
        <v>89</v>
      </c>
      <c r="AI8" s="163" t="s">
        <v>89</v>
      </c>
      <c r="AJ8" s="158">
        <v>7.2999999999999995E-2</v>
      </c>
      <c r="AK8" s="158">
        <v>0.06</v>
      </c>
      <c r="AL8" s="152" t="s">
        <v>175</v>
      </c>
    </row>
    <row r="9" spans="1:38" ht="31">
      <c r="A9" s="164">
        <v>4</v>
      </c>
      <c r="B9" s="165" t="s">
        <v>139</v>
      </c>
      <c r="C9" s="166" t="s">
        <v>140</v>
      </c>
      <c r="D9" s="166" t="s">
        <v>141</v>
      </c>
      <c r="E9" s="167" t="s">
        <v>142</v>
      </c>
      <c r="F9" s="168">
        <v>39</v>
      </c>
      <c r="G9" s="169" t="s">
        <v>143</v>
      </c>
      <c r="H9" s="169" t="s">
        <v>144</v>
      </c>
      <c r="I9" s="169" t="s">
        <v>145</v>
      </c>
      <c r="J9" s="170">
        <v>311.310808056648</v>
      </c>
      <c r="K9" s="170">
        <v>-5.4843109969541901</v>
      </c>
      <c r="L9" s="169" t="s">
        <v>146</v>
      </c>
      <c r="M9" s="169" t="s">
        <v>147</v>
      </c>
      <c r="N9" s="170">
        <v>10.41</v>
      </c>
      <c r="O9" s="170">
        <v>13.606771999999999</v>
      </c>
      <c r="P9" s="170">
        <f>N9/O9</f>
        <v>0.76506022148383179</v>
      </c>
      <c r="Q9" s="170">
        <v>5.97</v>
      </c>
      <c r="R9" s="170">
        <v>0.16900000000000001</v>
      </c>
      <c r="S9" s="170">
        <v>7.5380000000000003</v>
      </c>
      <c r="T9" s="170">
        <v>0.36499999999999999</v>
      </c>
      <c r="U9" s="170">
        <f>Q9/S9</f>
        <v>0.79198726452639956</v>
      </c>
      <c r="V9" s="170">
        <v>-0.72955089299999998</v>
      </c>
      <c r="W9" s="170" t="str">
        <f>IF(V9&gt;=-0.3, "Flat",IF(V9&gt;-0.5, "Middle", "Steep"))</f>
        <v>Steep</v>
      </c>
      <c r="X9" s="170">
        <v>-0.77493724900000005</v>
      </c>
      <c r="Y9" s="170" t="s">
        <v>253</v>
      </c>
      <c r="Z9" s="170">
        <v>4.2369995280000001</v>
      </c>
      <c r="AA9" s="170">
        <v>5.2369201900000002</v>
      </c>
      <c r="AB9" s="171">
        <f>Z9/0.02</f>
        <v>211.8499764</v>
      </c>
      <c r="AC9" s="171">
        <f>N9/0.05</f>
        <v>208.2</v>
      </c>
      <c r="AD9" s="172" t="s">
        <v>148</v>
      </c>
      <c r="AE9" s="173">
        <v>0.13</v>
      </c>
      <c r="AF9" s="173">
        <v>0.21</v>
      </c>
      <c r="AG9" s="173">
        <v>2.69</v>
      </c>
      <c r="AH9" s="173">
        <v>0.44900000000000001</v>
      </c>
      <c r="AI9" s="173">
        <v>0.30299999999999999</v>
      </c>
      <c r="AJ9" s="173">
        <v>0.24099999999999999</v>
      </c>
      <c r="AK9" s="173">
        <v>0.13400000000000001</v>
      </c>
      <c r="AL9" s="167" t="s">
        <v>149</v>
      </c>
    </row>
    <row r="10" spans="1:38" ht="14">
      <c r="A10" s="339" t="s">
        <v>258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1"/>
      <c r="AI10" s="311"/>
      <c r="AJ10" s="311"/>
      <c r="AK10" s="311"/>
      <c r="AL10" s="312"/>
    </row>
    <row r="11" spans="1:38" ht="45">
      <c r="A11" s="305">
        <v>5</v>
      </c>
      <c r="B11" s="306" t="s">
        <v>35</v>
      </c>
      <c r="C11" s="301" t="s">
        <v>140</v>
      </c>
      <c r="D11" s="301" t="s">
        <v>259</v>
      </c>
      <c r="E11" s="307" t="s">
        <v>37</v>
      </c>
      <c r="F11" s="303">
        <v>21</v>
      </c>
      <c r="G11" s="301" t="s">
        <v>38</v>
      </c>
      <c r="H11" s="301" t="s">
        <v>39</v>
      </c>
      <c r="I11" s="301" t="s">
        <v>40</v>
      </c>
      <c r="J11" s="153">
        <v>197.23941500000001</v>
      </c>
      <c r="K11" s="153">
        <v>45.905358300000003</v>
      </c>
      <c r="L11" s="153" t="s">
        <v>41</v>
      </c>
      <c r="M11" s="153" t="s">
        <v>42</v>
      </c>
      <c r="N11" s="303">
        <v>10.16</v>
      </c>
      <c r="O11" s="303">
        <v>12.497517999999999</v>
      </c>
      <c r="P11" s="303">
        <f>N11/O11</f>
        <v>0.81296142161987683</v>
      </c>
      <c r="Q11" s="303">
        <v>2.9409999999999998</v>
      </c>
      <c r="R11" s="303">
        <v>0.129</v>
      </c>
      <c r="S11" s="303">
        <v>6.72</v>
      </c>
      <c r="T11" s="303">
        <v>0.42899999999999999</v>
      </c>
      <c r="U11" s="303">
        <f>Q11/S11</f>
        <v>0.43764880952380952</v>
      </c>
      <c r="V11" s="303">
        <v>-1.6266153999999999</v>
      </c>
      <c r="W11" s="334" t="s">
        <v>253</v>
      </c>
      <c r="X11" s="303">
        <v>-0.81407859999999999</v>
      </c>
      <c r="Y11" s="303" t="s">
        <v>253</v>
      </c>
      <c r="Z11" s="303">
        <v>1.36921077</v>
      </c>
      <c r="AA11" s="303">
        <v>4.5835245599999999</v>
      </c>
      <c r="AB11" s="303">
        <f>Z11/0.02</f>
        <v>68.460538499999998</v>
      </c>
      <c r="AC11" s="303">
        <f>N11/0.05</f>
        <v>203.2</v>
      </c>
      <c r="AD11" s="174" t="s">
        <v>43</v>
      </c>
      <c r="AE11" s="175">
        <v>0.16</v>
      </c>
      <c r="AF11" s="175">
        <v>0.12</v>
      </c>
      <c r="AG11" s="175">
        <v>1.05</v>
      </c>
      <c r="AH11" s="175">
        <v>9.7000000000000003E-2</v>
      </c>
      <c r="AI11" s="175">
        <v>0.09</v>
      </c>
      <c r="AJ11" s="175">
        <v>0.23300000000000001</v>
      </c>
      <c r="AK11" s="175">
        <v>0.215</v>
      </c>
      <c r="AL11" s="176" t="s">
        <v>44</v>
      </c>
    </row>
    <row r="12" spans="1:38" ht="45">
      <c r="A12" s="302"/>
      <c r="B12" s="302"/>
      <c r="C12" s="302"/>
      <c r="D12" s="302"/>
      <c r="E12" s="302"/>
      <c r="F12" s="302"/>
      <c r="G12" s="302"/>
      <c r="H12" s="302"/>
      <c r="I12" s="302"/>
      <c r="J12" s="153">
        <v>197.23920000000001</v>
      </c>
      <c r="K12" s="153">
        <v>45.905556699999998</v>
      </c>
      <c r="L12" s="153" t="s">
        <v>45</v>
      </c>
      <c r="M12" s="153" t="s">
        <v>46</v>
      </c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174" t="s">
        <v>47</v>
      </c>
      <c r="AE12" s="175">
        <v>0.19</v>
      </c>
      <c r="AF12" s="175">
        <v>0.17</v>
      </c>
      <c r="AG12" s="175">
        <v>1.44</v>
      </c>
      <c r="AH12" s="175">
        <v>0.11799999999999999</v>
      </c>
      <c r="AI12" s="175">
        <v>9.6000000000000002E-2</v>
      </c>
      <c r="AJ12" s="175">
        <v>0.13100000000000001</v>
      </c>
      <c r="AK12" s="175">
        <v>0.129</v>
      </c>
      <c r="AL12" s="176" t="s">
        <v>48</v>
      </c>
    </row>
    <row r="13" spans="1:38" ht="76">
      <c r="A13" s="177">
        <v>6</v>
      </c>
      <c r="B13" s="178" t="s">
        <v>49</v>
      </c>
      <c r="C13" s="179" t="s">
        <v>140</v>
      </c>
      <c r="D13" s="179" t="s">
        <v>50</v>
      </c>
      <c r="E13" s="180" t="s">
        <v>51</v>
      </c>
      <c r="F13" s="181">
        <v>74</v>
      </c>
      <c r="G13" s="179" t="s">
        <v>52</v>
      </c>
      <c r="H13" s="179" t="s">
        <v>53</v>
      </c>
      <c r="I13" s="179" t="s">
        <v>54</v>
      </c>
      <c r="J13" s="182">
        <v>330.816641</v>
      </c>
      <c r="K13" s="182">
        <v>0.57111277999999999</v>
      </c>
      <c r="L13" s="182" t="s">
        <v>55</v>
      </c>
      <c r="M13" s="182" t="s">
        <v>56</v>
      </c>
      <c r="N13" s="182">
        <v>14.31</v>
      </c>
      <c r="O13" s="182">
        <v>17.159786</v>
      </c>
      <c r="P13" s="182">
        <f t="shared" ref="P13:P14" si="4">N13/O13</f>
        <v>0.83392648369857292</v>
      </c>
      <c r="Q13" s="182">
        <v>5.7610000000000001</v>
      </c>
      <c r="R13" s="182">
        <v>0.16700000000000001</v>
      </c>
      <c r="S13" s="182">
        <v>9.2289999999999992</v>
      </c>
      <c r="T13" s="182">
        <v>0.40200000000000002</v>
      </c>
      <c r="U13" s="182">
        <f t="shared" ref="U13:U14" si="5">Q13/S13</f>
        <v>0.62422797702893063</v>
      </c>
      <c r="V13" s="182">
        <v>-1.1938062</v>
      </c>
      <c r="W13" s="182" t="s">
        <v>253</v>
      </c>
      <c r="X13" s="182">
        <v>-0.81378470000000003</v>
      </c>
      <c r="Y13" s="182" t="s">
        <v>253</v>
      </c>
      <c r="Z13" s="182">
        <v>3.2871397899999999</v>
      </c>
      <c r="AA13" s="182">
        <v>6.2957130399999999</v>
      </c>
      <c r="AB13" s="182">
        <f t="shared" ref="AB13:AB14" si="6">Z13/0.02</f>
        <v>164.3569895</v>
      </c>
      <c r="AC13" s="182">
        <f t="shared" ref="AC13:AC14" si="7">N13/0.05</f>
        <v>286.2</v>
      </c>
      <c r="AD13" s="183" t="s">
        <v>57</v>
      </c>
      <c r="AE13" s="184">
        <v>27.26</v>
      </c>
      <c r="AF13" s="184">
        <v>27.9</v>
      </c>
      <c r="AG13" s="184">
        <v>1.31</v>
      </c>
      <c r="AH13" s="184">
        <v>7.1999999999999995E-2</v>
      </c>
      <c r="AI13" s="184">
        <v>4.8000000000000001E-2</v>
      </c>
      <c r="AJ13" s="184">
        <v>5.3999999999999999E-2</v>
      </c>
      <c r="AK13" s="184">
        <v>3.2000000000000001E-2</v>
      </c>
      <c r="AL13" s="185" t="s">
        <v>58</v>
      </c>
    </row>
    <row r="14" spans="1:38" ht="13">
      <c r="A14" s="340">
        <v>7</v>
      </c>
      <c r="B14" s="336" t="s">
        <v>150</v>
      </c>
      <c r="C14" s="301" t="s">
        <v>140</v>
      </c>
      <c r="D14" s="336" t="s">
        <v>151</v>
      </c>
      <c r="E14" s="336" t="s">
        <v>152</v>
      </c>
      <c r="F14" s="336">
        <v>53</v>
      </c>
      <c r="G14" s="337" t="s">
        <v>153</v>
      </c>
      <c r="H14" s="337" t="s">
        <v>154</v>
      </c>
      <c r="I14" s="337" t="s">
        <v>155</v>
      </c>
      <c r="J14" s="337">
        <v>186.90853608513601</v>
      </c>
      <c r="K14" s="337">
        <v>40.160502682952803</v>
      </c>
      <c r="L14" s="337" t="s">
        <v>156</v>
      </c>
      <c r="M14" s="337" t="s">
        <v>157</v>
      </c>
      <c r="N14" s="337">
        <v>10.130000000000001</v>
      </c>
      <c r="O14" s="337">
        <v>12.908571999999999</v>
      </c>
      <c r="P14" s="337">
        <f t="shared" si="4"/>
        <v>0.78474985459274671</v>
      </c>
      <c r="Q14" s="337">
        <v>4.8579999999999997</v>
      </c>
      <c r="R14" s="337">
        <v>0.13200000000000001</v>
      </c>
      <c r="S14" s="337">
        <v>7.798</v>
      </c>
      <c r="T14" s="337">
        <v>0.32100000000000001</v>
      </c>
      <c r="U14" s="337">
        <f t="shared" si="5"/>
        <v>0.62298025134649904</v>
      </c>
      <c r="V14" s="337">
        <v>-0.96422499500000003</v>
      </c>
      <c r="W14" s="337" t="s">
        <v>253</v>
      </c>
      <c r="X14" s="337">
        <v>-0.66132765900000001</v>
      </c>
      <c r="Y14" s="337" t="s">
        <v>253</v>
      </c>
      <c r="Z14" s="337">
        <v>3.0877342940000001</v>
      </c>
      <c r="AA14" s="337">
        <v>5.7146947900000002</v>
      </c>
      <c r="AB14" s="338">
        <f t="shared" si="6"/>
        <v>154.3867147</v>
      </c>
      <c r="AC14" s="338">
        <f t="shared" si="7"/>
        <v>202.6</v>
      </c>
      <c r="AD14" s="186" t="s">
        <v>158</v>
      </c>
      <c r="AE14" s="152">
        <v>0.11</v>
      </c>
      <c r="AF14" s="152">
        <v>0.11</v>
      </c>
      <c r="AG14" s="152">
        <v>2.39</v>
      </c>
      <c r="AH14" s="152">
        <v>0.28199999999999997</v>
      </c>
      <c r="AI14" s="152">
        <v>0.23400000000000001</v>
      </c>
      <c r="AJ14" s="152">
        <v>0.192</v>
      </c>
      <c r="AK14" s="152">
        <v>0.13800000000000001</v>
      </c>
      <c r="AL14" s="152" t="s">
        <v>159</v>
      </c>
    </row>
    <row r="15" spans="1:38" ht="14">
      <c r="A15" s="318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157" t="s">
        <v>160</v>
      </c>
      <c r="AE15" s="158">
        <v>1.5</v>
      </c>
      <c r="AF15" s="158">
        <v>1.1100000000000001</v>
      </c>
      <c r="AG15" s="158">
        <v>0.62</v>
      </c>
      <c r="AH15" s="158">
        <v>3.7999999999999999E-2</v>
      </c>
      <c r="AI15" s="158">
        <v>3.3000000000000002E-2</v>
      </c>
      <c r="AJ15" s="163" t="s">
        <v>89</v>
      </c>
      <c r="AK15" s="163" t="s">
        <v>89</v>
      </c>
      <c r="AL15" s="152" t="s">
        <v>161</v>
      </c>
    </row>
    <row r="16" spans="1:38" ht="14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157" t="s">
        <v>162</v>
      </c>
      <c r="AE16" s="158">
        <v>2.9</v>
      </c>
      <c r="AF16" s="158">
        <v>2.1</v>
      </c>
      <c r="AG16" s="158">
        <v>0.91</v>
      </c>
      <c r="AH16" s="163" t="s">
        <v>89</v>
      </c>
      <c r="AI16" s="163" t="s">
        <v>89</v>
      </c>
      <c r="AJ16" s="158">
        <v>1.2999999999999999E-2</v>
      </c>
      <c r="AK16" s="158">
        <v>1.2E-2</v>
      </c>
      <c r="AL16" s="152" t="s">
        <v>163</v>
      </c>
    </row>
    <row r="17" spans="1:38" ht="17">
      <c r="A17" s="343" t="s">
        <v>255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1"/>
      <c r="AJ17" s="311"/>
      <c r="AK17" s="311"/>
      <c r="AL17" s="312"/>
    </row>
    <row r="18" spans="1:38" ht="131">
      <c r="A18" s="149">
        <v>8</v>
      </c>
      <c r="B18" s="187" t="s">
        <v>59</v>
      </c>
      <c r="C18" s="151" t="s">
        <v>255</v>
      </c>
      <c r="D18" s="188" t="s">
        <v>260</v>
      </c>
      <c r="E18" s="189" t="s">
        <v>61</v>
      </c>
      <c r="F18" s="153">
        <v>71</v>
      </c>
      <c r="G18" s="151" t="s">
        <v>62</v>
      </c>
      <c r="H18" s="151" t="s">
        <v>63</v>
      </c>
      <c r="I18" s="151" t="s">
        <v>64</v>
      </c>
      <c r="J18" s="153">
        <v>231.05242799999999</v>
      </c>
      <c r="K18" s="153">
        <v>8.5448145600000007</v>
      </c>
      <c r="L18" s="153" t="s">
        <v>65</v>
      </c>
      <c r="M18" s="153" t="s">
        <v>66</v>
      </c>
      <c r="N18" s="153">
        <v>13.79</v>
      </c>
      <c r="O18" s="153">
        <v>18.943428000000001</v>
      </c>
      <c r="P18" s="153">
        <f>N18/O18</f>
        <v>0.72795694633516161</v>
      </c>
      <c r="Q18" s="153">
        <v>7.8179999999999996</v>
      </c>
      <c r="R18" s="153">
        <v>0.14399999999999999</v>
      </c>
      <c r="S18" s="153">
        <v>8.8010000000000002</v>
      </c>
      <c r="T18" s="153">
        <v>0.27</v>
      </c>
      <c r="U18" s="153">
        <f>Q18/S18</f>
        <v>0.88830814680149972</v>
      </c>
      <c r="V18" s="153">
        <v>-0.7446334</v>
      </c>
      <c r="W18" s="153" t="s">
        <v>253</v>
      </c>
      <c r="X18" s="153">
        <v>-1.005841</v>
      </c>
      <c r="Y18" s="153" t="s">
        <v>253</v>
      </c>
      <c r="Z18" s="153">
        <v>5.5093595100000003</v>
      </c>
      <c r="AA18" s="153">
        <v>5.4855448899999999</v>
      </c>
      <c r="AB18" s="153">
        <f>Z18/0.02</f>
        <v>275.46797550000002</v>
      </c>
      <c r="AC18" s="153">
        <f>N18/0.05</f>
        <v>275.79999999999995</v>
      </c>
      <c r="AD18" s="174" t="s">
        <v>67</v>
      </c>
      <c r="AE18" s="175">
        <v>0.15</v>
      </c>
      <c r="AF18" s="175">
        <v>0.25</v>
      </c>
      <c r="AG18" s="175">
        <v>1.57</v>
      </c>
      <c r="AH18" s="175">
        <v>6.6000000000000003E-2</v>
      </c>
      <c r="AI18" s="175">
        <v>3.7999999999999999E-2</v>
      </c>
      <c r="AJ18" s="175">
        <v>0.13100000000000001</v>
      </c>
      <c r="AK18" s="175">
        <v>7.0000000000000007E-2</v>
      </c>
      <c r="AL18" s="176" t="s">
        <v>68</v>
      </c>
    </row>
    <row r="19" spans="1:38" ht="17">
      <c r="A19" s="344" t="s">
        <v>261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1"/>
      <c r="AC19" s="311"/>
      <c r="AD19" s="311"/>
      <c r="AE19" s="311"/>
      <c r="AF19" s="311"/>
      <c r="AG19" s="311"/>
      <c r="AH19" s="311"/>
      <c r="AI19" s="311"/>
      <c r="AJ19" s="311"/>
      <c r="AK19" s="311"/>
      <c r="AL19" s="312"/>
    </row>
    <row r="20" spans="1:38" ht="14">
      <c r="A20" s="314">
        <v>9</v>
      </c>
      <c r="B20" s="315" t="s">
        <v>176</v>
      </c>
      <c r="C20" s="309" t="s">
        <v>177</v>
      </c>
      <c r="D20" s="309" t="s">
        <v>262</v>
      </c>
      <c r="E20" s="345" t="s">
        <v>179</v>
      </c>
      <c r="F20" s="308">
        <v>108</v>
      </c>
      <c r="G20" s="341" t="s">
        <v>180</v>
      </c>
      <c r="H20" s="341" t="s">
        <v>181</v>
      </c>
      <c r="I20" s="341" t="s">
        <v>182</v>
      </c>
      <c r="J20" s="304">
        <v>138.74859716503499</v>
      </c>
      <c r="K20" s="304">
        <v>29.730256544930501</v>
      </c>
      <c r="L20" s="341" t="s">
        <v>183</v>
      </c>
      <c r="M20" s="341" t="s">
        <v>184</v>
      </c>
      <c r="N20" s="304">
        <v>11.52</v>
      </c>
      <c r="O20" s="304">
        <v>15.230524000000001</v>
      </c>
      <c r="P20" s="304">
        <f>N20/O20</f>
        <v>0.75637581477827021</v>
      </c>
      <c r="Q20" s="304">
        <v>3.3039999999999998</v>
      </c>
      <c r="R20" s="304">
        <v>0.15</v>
      </c>
      <c r="S20" s="304">
        <v>9.4109999999999996</v>
      </c>
      <c r="T20" s="304">
        <v>0.55900000000000005</v>
      </c>
      <c r="U20" s="304">
        <f>Q20/S20</f>
        <v>0.3510785251301668</v>
      </c>
      <c r="V20" s="304">
        <v>-1.638741851</v>
      </c>
      <c r="W20" s="304" t="s">
        <v>253</v>
      </c>
      <c r="X20" s="304">
        <v>-0.63167176800000002</v>
      </c>
      <c r="Y20" s="304" t="s">
        <v>253</v>
      </c>
      <c r="Z20" s="304">
        <v>1.5294668920000001</v>
      </c>
      <c r="AA20" s="304">
        <v>6.9935702720000004</v>
      </c>
      <c r="AB20" s="342">
        <f>Z20/0.02</f>
        <v>76.473344600000004</v>
      </c>
      <c r="AC20" s="342">
        <f>N20/0.05</f>
        <v>230.39999999999998</v>
      </c>
      <c r="AD20" s="190" t="s">
        <v>185</v>
      </c>
      <c r="AE20" s="191">
        <v>0.09</v>
      </c>
      <c r="AF20" s="191">
        <v>0.12</v>
      </c>
      <c r="AG20" s="191">
        <v>0.26</v>
      </c>
      <c r="AH20" s="191">
        <v>0.111</v>
      </c>
      <c r="AI20" s="191">
        <v>8.1000000000000003E-2</v>
      </c>
      <c r="AJ20" s="191">
        <v>9.1999999999999998E-2</v>
      </c>
      <c r="AK20" s="191">
        <v>7.1999999999999995E-2</v>
      </c>
      <c r="AL20" s="192" t="s">
        <v>186</v>
      </c>
    </row>
    <row r="21" spans="1:38" ht="14">
      <c r="A21" s="302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190" t="s">
        <v>187</v>
      </c>
      <c r="AE21" s="191">
        <v>0.14000000000000001</v>
      </c>
      <c r="AF21" s="191">
        <v>0.16</v>
      </c>
      <c r="AG21" s="191">
        <v>2.2200000000000002</v>
      </c>
      <c r="AH21" s="191">
        <v>0.18099999999999999</v>
      </c>
      <c r="AI21" s="191">
        <v>0.107</v>
      </c>
      <c r="AJ21" s="191">
        <v>0.20599999999999999</v>
      </c>
      <c r="AK21" s="191">
        <v>0.159</v>
      </c>
      <c r="AL21" s="192" t="s">
        <v>188</v>
      </c>
    </row>
    <row r="22" spans="1:38" ht="14">
      <c r="A22" s="305">
        <v>10</v>
      </c>
      <c r="B22" s="306" t="s">
        <v>95</v>
      </c>
      <c r="C22" s="301" t="s">
        <v>177</v>
      </c>
      <c r="D22" s="301" t="s">
        <v>263</v>
      </c>
      <c r="E22" s="307" t="s">
        <v>98</v>
      </c>
      <c r="F22" s="313">
        <v>60</v>
      </c>
      <c r="G22" s="301" t="s">
        <v>99</v>
      </c>
      <c r="H22" s="301" t="s">
        <v>100</v>
      </c>
      <c r="I22" s="301" t="s">
        <v>101</v>
      </c>
      <c r="J22" s="303">
        <v>313.90214200000003</v>
      </c>
      <c r="K22" s="303">
        <v>-0.63658720000000002</v>
      </c>
      <c r="L22" s="303" t="s">
        <v>102</v>
      </c>
      <c r="M22" s="303" t="s">
        <v>103</v>
      </c>
      <c r="N22" s="303">
        <v>14.8</v>
      </c>
      <c r="O22" s="303">
        <v>14.901717</v>
      </c>
      <c r="P22" s="303">
        <f>N22/O22</f>
        <v>0.99317414228172507</v>
      </c>
      <c r="Q22" s="303">
        <v>7.7869999999999999</v>
      </c>
      <c r="R22" s="303">
        <v>0.11899999999999999</v>
      </c>
      <c r="S22" s="303">
        <v>8.23</v>
      </c>
      <c r="T22" s="303">
        <v>0.221</v>
      </c>
      <c r="U22" s="303">
        <f>Q22/S22</f>
        <v>0.94617253948967184</v>
      </c>
      <c r="V22" s="303">
        <v>-0.8425899</v>
      </c>
      <c r="W22" s="303" t="s">
        <v>253</v>
      </c>
      <c r="X22" s="303">
        <v>-0.77897810000000001</v>
      </c>
      <c r="Y22" s="303" t="s">
        <v>253</v>
      </c>
      <c r="Z22" s="303">
        <v>5.2405967200000001</v>
      </c>
      <c r="AA22" s="303">
        <v>5.7068286700000002</v>
      </c>
      <c r="AB22" s="303">
        <f>Z22/0.02</f>
        <v>262.02983599999999</v>
      </c>
      <c r="AC22" s="303">
        <f>N22/0.05</f>
        <v>296</v>
      </c>
      <c r="AD22" s="174" t="s">
        <v>104</v>
      </c>
      <c r="AE22" s="175">
        <v>0.44</v>
      </c>
      <c r="AF22" s="175">
        <v>0.81</v>
      </c>
      <c r="AG22" s="175">
        <v>0.91</v>
      </c>
      <c r="AH22" s="176" t="s">
        <v>89</v>
      </c>
      <c r="AI22" s="176" t="s">
        <v>89</v>
      </c>
      <c r="AJ22" s="175">
        <v>2.5999999999999999E-2</v>
      </c>
      <c r="AK22" s="175">
        <v>1.9E-2</v>
      </c>
      <c r="AL22" s="176" t="s">
        <v>105</v>
      </c>
    </row>
    <row r="23" spans="1:38" ht="14">
      <c r="A23" s="302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157" t="s">
        <v>126</v>
      </c>
      <c r="AE23" s="158">
        <v>0.14000000000000001</v>
      </c>
      <c r="AF23" s="158">
        <v>0.3</v>
      </c>
      <c r="AG23" s="158">
        <v>2.66</v>
      </c>
      <c r="AH23" s="158">
        <v>0.20399999999999999</v>
      </c>
      <c r="AI23" s="158">
        <v>9.8000000000000004E-2</v>
      </c>
      <c r="AJ23" s="163" t="s">
        <v>89</v>
      </c>
      <c r="AK23" s="163" t="s">
        <v>89</v>
      </c>
      <c r="AL23" s="152" t="s">
        <v>127</v>
      </c>
    </row>
    <row r="24" spans="1:38" ht="14">
      <c r="A24" s="314">
        <v>11</v>
      </c>
      <c r="B24" s="315" t="s">
        <v>108</v>
      </c>
      <c r="C24" s="309" t="s">
        <v>177</v>
      </c>
      <c r="D24" s="309" t="s">
        <v>110</v>
      </c>
      <c r="E24" s="316" t="s">
        <v>111</v>
      </c>
      <c r="F24" s="308">
        <v>33</v>
      </c>
      <c r="G24" s="309" t="s">
        <v>112</v>
      </c>
      <c r="H24" s="309" t="s">
        <v>113</v>
      </c>
      <c r="I24" s="309" t="s">
        <v>114</v>
      </c>
      <c r="J24" s="308">
        <v>250.455645</v>
      </c>
      <c r="K24" s="308">
        <v>37.309269499999999</v>
      </c>
      <c r="L24" s="308" t="s">
        <v>115</v>
      </c>
      <c r="M24" s="308" t="s">
        <v>116</v>
      </c>
      <c r="N24" s="308">
        <v>22.03</v>
      </c>
      <c r="O24" s="308">
        <v>22.505393999999999</v>
      </c>
      <c r="P24" s="308">
        <f>N24/O24</f>
        <v>0.97887644179879729</v>
      </c>
      <c r="Q24" s="308">
        <v>18.763999999999999</v>
      </c>
      <c r="R24" s="308">
        <v>0.113</v>
      </c>
      <c r="S24" s="308">
        <v>19.471</v>
      </c>
      <c r="T24" s="308">
        <v>0.20100000000000001</v>
      </c>
      <c r="U24" s="308">
        <f>Q24/S24</f>
        <v>0.96368958964614038</v>
      </c>
      <c r="V24" s="308">
        <v>-0.21054529999999999</v>
      </c>
      <c r="W24" s="308" t="s">
        <v>257</v>
      </c>
      <c r="X24" s="308">
        <v>-0.19002920000000001</v>
      </c>
      <c r="Y24" s="308" t="s">
        <v>257</v>
      </c>
      <c r="Z24" s="308">
        <v>16.996085900000001</v>
      </c>
      <c r="AA24" s="308">
        <v>17.807358700000002</v>
      </c>
      <c r="AB24" s="308">
        <f>Z24/0.02</f>
        <v>849.80429500000002</v>
      </c>
      <c r="AC24" s="308">
        <f>N24/0.05</f>
        <v>440.6</v>
      </c>
      <c r="AD24" s="193" t="s">
        <v>117</v>
      </c>
      <c r="AE24" s="194">
        <v>0.04</v>
      </c>
      <c r="AF24" s="194">
        <v>0.03</v>
      </c>
      <c r="AG24" s="194">
        <v>1.54</v>
      </c>
      <c r="AH24" s="194">
        <v>2.508</v>
      </c>
      <c r="AI24" s="194">
        <v>1.546</v>
      </c>
      <c r="AJ24" s="194">
        <v>2.202</v>
      </c>
      <c r="AK24" s="194">
        <v>0.65400000000000003</v>
      </c>
      <c r="AL24" s="195" t="s">
        <v>118</v>
      </c>
    </row>
    <row r="25" spans="1:38" ht="14">
      <c r="A25" s="302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193" t="s">
        <v>119</v>
      </c>
      <c r="AE25" s="194">
        <v>0.04</v>
      </c>
      <c r="AF25" s="194">
        <v>0.03</v>
      </c>
      <c r="AG25" s="196">
        <v>2.48</v>
      </c>
      <c r="AH25" s="194">
        <v>0.98699999999999999</v>
      </c>
      <c r="AI25" s="194">
        <v>0.82</v>
      </c>
      <c r="AJ25" s="194">
        <v>0.82599999999999996</v>
      </c>
      <c r="AK25" s="194">
        <v>0.75900000000000001</v>
      </c>
      <c r="AL25" s="195" t="s">
        <v>120</v>
      </c>
    </row>
    <row r="26" spans="1:38" ht="17">
      <c r="A26" s="310" t="s">
        <v>264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1"/>
      <c r="AE26" s="311"/>
      <c r="AF26" s="311"/>
      <c r="AG26" s="311"/>
      <c r="AH26" s="311"/>
      <c r="AI26" s="311"/>
      <c r="AJ26" s="311"/>
      <c r="AK26" s="311"/>
      <c r="AL26" s="312"/>
    </row>
    <row r="27" spans="1:38" ht="144">
      <c r="A27" s="197">
        <v>12</v>
      </c>
      <c r="B27" s="198" t="s">
        <v>70</v>
      </c>
      <c r="C27" s="199" t="s">
        <v>264</v>
      </c>
      <c r="D27" s="200" t="s">
        <v>265</v>
      </c>
      <c r="E27" s="201" t="s">
        <v>72</v>
      </c>
      <c r="F27" s="202">
        <v>37</v>
      </c>
      <c r="G27" s="199" t="s">
        <v>73</v>
      </c>
      <c r="H27" s="199" t="s">
        <v>74</v>
      </c>
      <c r="I27" s="199" t="s">
        <v>75</v>
      </c>
      <c r="J27" s="203">
        <v>203.19008099999999</v>
      </c>
      <c r="K27" s="203">
        <v>26.580387900000002</v>
      </c>
      <c r="L27" s="203" t="s">
        <v>76</v>
      </c>
      <c r="M27" s="203" t="s">
        <v>77</v>
      </c>
      <c r="N27" s="203">
        <v>20.39</v>
      </c>
      <c r="O27" s="203">
        <v>20.764593000000001</v>
      </c>
      <c r="P27" s="203">
        <f t="shared" ref="P27:P28" si="8">N27/O27</f>
        <v>0.98196001241151221</v>
      </c>
      <c r="Q27" s="203">
        <v>9.5429999999999993</v>
      </c>
      <c r="R27" s="203">
        <v>0.121</v>
      </c>
      <c r="S27" s="203">
        <v>10.297000000000001</v>
      </c>
      <c r="T27" s="203">
        <v>0.222</v>
      </c>
      <c r="U27" s="203">
        <f t="shared" ref="U27:U28" si="9">Q27/S27</f>
        <v>0.926774788773429</v>
      </c>
      <c r="V27" s="203">
        <v>-0.99619049999999998</v>
      </c>
      <c r="W27" s="203"/>
      <c r="X27" s="203">
        <v>-0.92029890000000003</v>
      </c>
      <c r="Y27" s="203"/>
      <c r="Z27" s="203">
        <v>5.9750636400000001</v>
      </c>
      <c r="AA27" s="203">
        <v>6.6812743899999996</v>
      </c>
      <c r="AB27" s="203">
        <f t="shared" ref="AB27:AB32" si="10">Z27/0.02</f>
        <v>298.75318199999998</v>
      </c>
      <c r="AC27" s="203">
        <f t="shared" ref="AC27:AC37" si="11">N27/0.05</f>
        <v>407.8</v>
      </c>
      <c r="AD27" s="204" t="s">
        <v>78</v>
      </c>
      <c r="AE27" s="205">
        <v>0.1</v>
      </c>
      <c r="AF27" s="205">
        <v>0.14000000000000001</v>
      </c>
      <c r="AG27" s="205">
        <v>0.85</v>
      </c>
      <c r="AH27" s="205">
        <v>0.24299999999999999</v>
      </c>
      <c r="AI27" s="205">
        <v>0.19900000000000001</v>
      </c>
      <c r="AJ27" s="205">
        <v>0.56599999999999995</v>
      </c>
      <c r="AK27" s="205">
        <v>0.45800000000000002</v>
      </c>
      <c r="AL27" s="206" t="s">
        <v>79</v>
      </c>
    </row>
    <row r="28" spans="1:38" ht="45" customHeight="1">
      <c r="A28" s="317">
        <v>13</v>
      </c>
      <c r="B28" s="319" t="s">
        <v>190</v>
      </c>
      <c r="C28" s="320" t="s">
        <v>264</v>
      </c>
      <c r="D28" s="320" t="s">
        <v>266</v>
      </c>
      <c r="E28" s="321" t="s">
        <v>192</v>
      </c>
      <c r="F28" s="322">
        <v>45</v>
      </c>
      <c r="G28" s="320" t="s">
        <v>193</v>
      </c>
      <c r="H28" s="320" t="s">
        <v>194</v>
      </c>
      <c r="I28" s="320" t="s">
        <v>195</v>
      </c>
      <c r="J28" s="323">
        <v>205.282689</v>
      </c>
      <c r="K28" s="323">
        <v>23.282035199999999</v>
      </c>
      <c r="L28" s="323" t="s">
        <v>196</v>
      </c>
      <c r="M28" s="323" t="s">
        <v>197</v>
      </c>
      <c r="N28" s="320">
        <v>29.22</v>
      </c>
      <c r="O28" s="320">
        <v>34.606082999999998</v>
      </c>
      <c r="P28" s="323">
        <f t="shared" si="8"/>
        <v>0.84436022418370782</v>
      </c>
      <c r="Q28" s="323">
        <v>13.13</v>
      </c>
      <c r="R28" s="323">
        <v>0.151</v>
      </c>
      <c r="S28" s="323">
        <v>17.858000000000001</v>
      </c>
      <c r="T28" s="323">
        <v>0.33</v>
      </c>
      <c r="U28" s="323">
        <f t="shared" si="9"/>
        <v>0.73524470825400379</v>
      </c>
      <c r="V28" s="323">
        <v>-1.0496151</v>
      </c>
      <c r="W28" s="323"/>
      <c r="X28" s="323">
        <v>-0.86805290000000002</v>
      </c>
      <c r="Y28" s="323"/>
      <c r="Z28" s="323">
        <v>8.0171001200000003</v>
      </c>
      <c r="AA28" s="323">
        <v>11.875335099999999</v>
      </c>
      <c r="AB28" s="203">
        <f t="shared" si="10"/>
        <v>400.855006</v>
      </c>
      <c r="AC28" s="203">
        <f t="shared" si="11"/>
        <v>584.4</v>
      </c>
      <c r="AD28" s="204" t="s">
        <v>198</v>
      </c>
      <c r="AE28" s="205">
        <v>0.23</v>
      </c>
      <c r="AF28" s="205">
        <v>0.34</v>
      </c>
      <c r="AG28" s="207">
        <v>2.2200000000000002</v>
      </c>
      <c r="AH28" s="205">
        <v>7.0000000000000007E-2</v>
      </c>
      <c r="AI28" s="205">
        <v>3.5999999999999997E-2</v>
      </c>
      <c r="AJ28" s="206" t="s">
        <v>89</v>
      </c>
      <c r="AK28" s="206" t="s">
        <v>89</v>
      </c>
      <c r="AL28" s="206" t="s">
        <v>199</v>
      </c>
    </row>
    <row r="29" spans="1:38" ht="45" customHeight="1">
      <c r="A29" s="318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203">
        <f t="shared" si="10"/>
        <v>0</v>
      </c>
      <c r="AC29" s="203">
        <f t="shared" si="11"/>
        <v>0</v>
      </c>
      <c r="AD29" s="204" t="s">
        <v>200</v>
      </c>
      <c r="AE29" s="205">
        <v>0.46</v>
      </c>
      <c r="AF29" s="205">
        <v>0.95</v>
      </c>
      <c r="AG29" s="207">
        <v>2.59</v>
      </c>
      <c r="AH29" s="206" t="s">
        <v>89</v>
      </c>
      <c r="AI29" s="206" t="s">
        <v>89</v>
      </c>
      <c r="AJ29" s="205">
        <v>1.6E-2</v>
      </c>
      <c r="AK29" s="205">
        <v>1.6E-2</v>
      </c>
      <c r="AL29" s="206" t="s">
        <v>201</v>
      </c>
    </row>
    <row r="30" spans="1:38" ht="45" customHeight="1">
      <c r="A30" s="318"/>
      <c r="B30" s="318"/>
      <c r="C30" s="318"/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203">
        <f t="shared" si="10"/>
        <v>0</v>
      </c>
      <c r="AC30" s="203">
        <f t="shared" si="11"/>
        <v>0</v>
      </c>
      <c r="AD30" s="204" t="s">
        <v>202</v>
      </c>
      <c r="AE30" s="205">
        <v>0.03</v>
      </c>
      <c r="AF30" s="205">
        <v>0.03</v>
      </c>
      <c r="AG30" s="207">
        <v>3.44</v>
      </c>
      <c r="AH30" s="205">
        <v>1.0660000000000001</v>
      </c>
      <c r="AI30" s="205">
        <v>0.81299999999999994</v>
      </c>
      <c r="AJ30" s="205">
        <v>0.505</v>
      </c>
      <c r="AK30" s="205">
        <v>0.36799999999999999</v>
      </c>
      <c r="AL30" s="206" t="s">
        <v>203</v>
      </c>
    </row>
    <row r="31" spans="1:38" ht="45" customHeight="1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302"/>
      <c r="U31" s="302"/>
      <c r="V31" s="302"/>
      <c r="W31" s="302"/>
      <c r="X31" s="302"/>
      <c r="Y31" s="302"/>
      <c r="Z31" s="302"/>
      <c r="AA31" s="302"/>
      <c r="AB31" s="203">
        <f t="shared" si="10"/>
        <v>0</v>
      </c>
      <c r="AC31" s="203">
        <f t="shared" si="11"/>
        <v>0</v>
      </c>
      <c r="AD31" s="204" t="s">
        <v>204</v>
      </c>
      <c r="AE31" s="205">
        <v>0.09</v>
      </c>
      <c r="AF31" s="205">
        <v>0.14000000000000001</v>
      </c>
      <c r="AG31" s="207">
        <v>3.88</v>
      </c>
      <c r="AH31" s="205">
        <v>0.22800000000000001</v>
      </c>
      <c r="AI31" s="205">
        <v>0.17199999999999999</v>
      </c>
      <c r="AJ31" s="205">
        <v>0.27800000000000002</v>
      </c>
      <c r="AK31" s="205">
        <v>0.184</v>
      </c>
      <c r="AL31" s="206" t="s">
        <v>205</v>
      </c>
    </row>
    <row r="32" spans="1:38" ht="45" customHeight="1">
      <c r="A32" s="317">
        <v>14</v>
      </c>
      <c r="B32" s="319" t="s">
        <v>206</v>
      </c>
      <c r="C32" s="320" t="s">
        <v>264</v>
      </c>
      <c r="D32" s="324" t="s">
        <v>267</v>
      </c>
      <c r="E32" s="321" t="s">
        <v>208</v>
      </c>
      <c r="F32" s="322">
        <v>66</v>
      </c>
      <c r="G32" s="320" t="s">
        <v>209</v>
      </c>
      <c r="H32" s="320" t="s">
        <v>210</v>
      </c>
      <c r="I32" s="320" t="s">
        <v>211</v>
      </c>
      <c r="J32" s="323">
        <v>194.91559699999999</v>
      </c>
      <c r="K32" s="323">
        <v>53.341263099999999</v>
      </c>
      <c r="L32" s="323" t="s">
        <v>212</v>
      </c>
      <c r="M32" s="323" t="s">
        <v>213</v>
      </c>
      <c r="N32" s="320">
        <v>13.62</v>
      </c>
      <c r="O32" s="320">
        <v>19.487703</v>
      </c>
      <c r="P32" s="323">
        <f>N32/O32</f>
        <v>0.69890227698975094</v>
      </c>
      <c r="Q32" s="323">
        <v>5.2320000000000002</v>
      </c>
      <c r="R32" s="323">
        <v>0.14199999999999999</v>
      </c>
      <c r="S32" s="323">
        <v>7.6630000000000003</v>
      </c>
      <c r="T32" s="323">
        <v>0.32400000000000001</v>
      </c>
      <c r="U32" s="323">
        <f>Q32/S32</f>
        <v>0.68276132063160644</v>
      </c>
      <c r="V32" s="323">
        <v>-1.255341</v>
      </c>
      <c r="W32" s="323"/>
      <c r="X32" s="323">
        <v>-1.2246832000000001</v>
      </c>
      <c r="Y32" s="323"/>
      <c r="Z32" s="323">
        <v>2.9001972999999999</v>
      </c>
      <c r="AA32" s="323">
        <v>4.3093971199999999</v>
      </c>
      <c r="AB32" s="203">
        <f t="shared" si="10"/>
        <v>145.00986499999999</v>
      </c>
      <c r="AC32" s="203">
        <f t="shared" si="11"/>
        <v>272.39999999999998</v>
      </c>
      <c r="AD32" s="204" t="s">
        <v>214</v>
      </c>
      <c r="AE32" s="205">
        <v>0.18</v>
      </c>
      <c r="AF32" s="205">
        <v>0.11</v>
      </c>
      <c r="AG32" s="205">
        <v>1.02</v>
      </c>
      <c r="AH32" s="205">
        <v>0.24199999999999999</v>
      </c>
      <c r="AI32" s="205">
        <v>0.156</v>
      </c>
      <c r="AJ32" s="205">
        <v>0.24299999999999999</v>
      </c>
      <c r="AK32" s="205">
        <v>0.14399999999999999</v>
      </c>
      <c r="AL32" s="206" t="s">
        <v>215</v>
      </c>
    </row>
    <row r="33" spans="1:38" ht="45" customHeight="1">
      <c r="A33" s="318"/>
      <c r="B33" s="318"/>
      <c r="C33" s="318"/>
      <c r="D33" s="230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302"/>
      <c r="AB33" s="203">
        <f>Z34/0.02</f>
        <v>144.15946500000001</v>
      </c>
      <c r="AC33" s="203">
        <f t="shared" si="11"/>
        <v>0</v>
      </c>
      <c r="AD33" s="204" t="s">
        <v>216</v>
      </c>
      <c r="AE33" s="205">
        <v>0.14000000000000001</v>
      </c>
      <c r="AF33" s="205">
        <v>0.11</v>
      </c>
      <c r="AG33" s="205">
        <v>1.66</v>
      </c>
      <c r="AH33" s="205">
        <v>0.17199999999999999</v>
      </c>
      <c r="AI33" s="205">
        <v>8.5000000000000006E-2</v>
      </c>
      <c r="AJ33" s="205">
        <v>0.26400000000000001</v>
      </c>
      <c r="AK33" s="205">
        <v>0.214</v>
      </c>
      <c r="AL33" s="206" t="s">
        <v>217</v>
      </c>
    </row>
    <row r="34" spans="1:38" ht="45" customHeight="1">
      <c r="A34" s="318"/>
      <c r="B34" s="318"/>
      <c r="C34" s="318"/>
      <c r="D34" s="230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23">
        <v>5.2130000000000001</v>
      </c>
      <c r="R34" s="323">
        <v>0.14199999999999999</v>
      </c>
      <c r="S34" s="323">
        <v>7.6310000000000002</v>
      </c>
      <c r="T34" s="323">
        <v>0.32300000000000001</v>
      </c>
      <c r="U34" s="323">
        <f>Q34/S34</f>
        <v>0.68313458262350935</v>
      </c>
      <c r="V34" s="323">
        <v>-1.2601146000000001</v>
      </c>
      <c r="W34" s="323"/>
      <c r="X34" s="323">
        <v>-1.2301738</v>
      </c>
      <c r="Y34" s="323"/>
      <c r="Z34" s="323">
        <v>2.8831893000000002</v>
      </c>
      <c r="AA34" s="323">
        <v>4.2803412200000004</v>
      </c>
      <c r="AB34" s="203" t="e">
        <f>#REF!/0.02</f>
        <v>#REF!</v>
      </c>
      <c r="AC34" s="203">
        <f t="shared" si="11"/>
        <v>0</v>
      </c>
      <c r="AD34" s="204" t="s">
        <v>218</v>
      </c>
      <c r="AE34" s="205">
        <v>0.64</v>
      </c>
      <c r="AF34" s="205">
        <v>0.35</v>
      </c>
      <c r="AG34" s="207">
        <v>2.2400000000000002</v>
      </c>
      <c r="AH34" s="205">
        <v>2.5000000000000001E-2</v>
      </c>
      <c r="AI34" s="205">
        <v>2.1000000000000001E-2</v>
      </c>
      <c r="AJ34" s="206" t="s">
        <v>89</v>
      </c>
      <c r="AK34" s="206" t="s">
        <v>89</v>
      </c>
      <c r="AL34" s="206" t="s">
        <v>92</v>
      </c>
    </row>
    <row r="35" spans="1:38" ht="45" customHeight="1">
      <c r="A35" s="302"/>
      <c r="B35" s="302"/>
      <c r="C35" s="302"/>
      <c r="D35" s="231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203">
        <f t="shared" ref="AB35:AB37" si="12">Z35/0.02</f>
        <v>0</v>
      </c>
      <c r="AC35" s="203">
        <f t="shared" si="11"/>
        <v>0</v>
      </c>
      <c r="AD35" s="204" t="s">
        <v>219</v>
      </c>
      <c r="AE35" s="205">
        <v>1.1499999999999999</v>
      </c>
      <c r="AF35" s="205">
        <v>0.95</v>
      </c>
      <c r="AG35" s="205">
        <v>0.7</v>
      </c>
      <c r="AH35" s="206" t="s">
        <v>89</v>
      </c>
      <c r="AI35" s="206" t="s">
        <v>89</v>
      </c>
      <c r="AJ35" s="205">
        <v>3.3000000000000002E-2</v>
      </c>
      <c r="AK35" s="205">
        <v>3.6999999999999998E-2</v>
      </c>
      <c r="AL35" s="206" t="s">
        <v>92</v>
      </c>
    </row>
    <row r="36" spans="1:38" ht="45" customHeight="1">
      <c r="A36" s="208">
        <v>15</v>
      </c>
      <c r="B36" s="209" t="s">
        <v>220</v>
      </c>
      <c r="C36" s="199" t="s">
        <v>264</v>
      </c>
      <c r="D36" s="199" t="s">
        <v>221</v>
      </c>
      <c r="E36" s="201" t="s">
        <v>222</v>
      </c>
      <c r="F36" s="210">
        <v>1236</v>
      </c>
      <c r="G36" s="199" t="s">
        <v>223</v>
      </c>
      <c r="H36" s="199" t="s">
        <v>224</v>
      </c>
      <c r="I36" s="199" t="s">
        <v>225</v>
      </c>
      <c r="J36" s="203">
        <v>253.46757199999999</v>
      </c>
      <c r="K36" s="203">
        <v>39.760168499999999</v>
      </c>
      <c r="L36" s="203" t="s">
        <v>226</v>
      </c>
      <c r="M36" s="203" t="s">
        <v>227</v>
      </c>
      <c r="N36" s="199">
        <v>1394.38</v>
      </c>
      <c r="O36" s="199">
        <v>1420.3646000000001</v>
      </c>
      <c r="P36" s="203">
        <f t="shared" ref="P36:P37" si="13">N36/O36</f>
        <v>0.98170568317458773</v>
      </c>
      <c r="Q36" s="203">
        <v>902.02700000000004</v>
      </c>
      <c r="R36" s="203">
        <v>0.91300000000000003</v>
      </c>
      <c r="S36" s="203">
        <v>1244.8109999999999</v>
      </c>
      <c r="T36" s="203">
        <v>4.556</v>
      </c>
      <c r="U36" s="203">
        <f t="shared" ref="U36:U37" si="14">Q36/S36</f>
        <v>0.7246296827389862</v>
      </c>
      <c r="V36" s="211">
        <v>-0.57149692699999999</v>
      </c>
      <c r="W36" s="211"/>
      <c r="X36" s="203">
        <v>-0.17310449999999999</v>
      </c>
      <c r="Y36" s="211"/>
      <c r="Z36" s="211">
        <v>689.54973259999997</v>
      </c>
      <c r="AA36" s="203">
        <v>1147.54394</v>
      </c>
      <c r="AB36" s="203">
        <f t="shared" si="12"/>
        <v>34477.486629999999</v>
      </c>
      <c r="AC36" s="203">
        <f t="shared" si="11"/>
        <v>27887.600000000002</v>
      </c>
      <c r="AD36" s="204" t="s">
        <v>228</v>
      </c>
      <c r="AE36" s="205">
        <v>0.04</v>
      </c>
      <c r="AF36" s="205">
        <v>0.03</v>
      </c>
      <c r="AG36" s="205">
        <v>0.73</v>
      </c>
      <c r="AH36" s="205">
        <v>0.27900000000000003</v>
      </c>
      <c r="AI36" s="205">
        <v>0.22900000000000001</v>
      </c>
      <c r="AJ36" s="205">
        <v>0.34499999999999997</v>
      </c>
      <c r="AK36" s="205">
        <v>0.32500000000000001</v>
      </c>
      <c r="AL36" s="206" t="s">
        <v>48</v>
      </c>
    </row>
    <row r="37" spans="1:38" ht="45" customHeight="1">
      <c r="A37" s="317">
        <v>16</v>
      </c>
      <c r="B37" s="319" t="s">
        <v>229</v>
      </c>
      <c r="C37" s="320" t="s">
        <v>264</v>
      </c>
      <c r="D37" s="320" t="s">
        <v>268</v>
      </c>
      <c r="E37" s="321" t="s">
        <v>231</v>
      </c>
      <c r="F37" s="320">
        <v>27</v>
      </c>
      <c r="G37" s="320" t="s">
        <v>232</v>
      </c>
      <c r="H37" s="320" t="s">
        <v>233</v>
      </c>
      <c r="I37" s="320" t="s">
        <v>234</v>
      </c>
      <c r="J37" s="323">
        <v>345.92181799999997</v>
      </c>
      <c r="K37" s="323">
        <v>1.0435811800000001</v>
      </c>
      <c r="L37" s="323" t="s">
        <v>235</v>
      </c>
      <c r="M37" s="323" t="s">
        <v>236</v>
      </c>
      <c r="N37" s="320">
        <v>11.46</v>
      </c>
      <c r="O37" s="320">
        <v>13.167244</v>
      </c>
      <c r="P37" s="323">
        <f t="shared" si="13"/>
        <v>0.87034158400953154</v>
      </c>
      <c r="Q37" s="323">
        <v>7.0430000000000001</v>
      </c>
      <c r="R37" s="323">
        <v>0.111</v>
      </c>
      <c r="S37" s="323">
        <v>7.5709999999999997</v>
      </c>
      <c r="T37" s="323">
        <v>0.20300000000000001</v>
      </c>
      <c r="U37" s="323">
        <f t="shared" si="14"/>
        <v>0.93026020340774007</v>
      </c>
      <c r="V37" s="323">
        <v>-0.63876509999999997</v>
      </c>
      <c r="W37" s="323"/>
      <c r="X37" s="323">
        <v>-0.7261225</v>
      </c>
      <c r="Y37" s="323"/>
      <c r="Z37" s="323">
        <v>5.2164248999999998</v>
      </c>
      <c r="AA37" s="323">
        <v>5.3819186099999996</v>
      </c>
      <c r="AB37" s="323">
        <f t="shared" si="12"/>
        <v>260.82124499999998</v>
      </c>
      <c r="AC37" s="323">
        <f t="shared" si="11"/>
        <v>229.20000000000002</v>
      </c>
      <c r="AD37" s="204" t="s">
        <v>237</v>
      </c>
      <c r="AE37" s="205">
        <v>0.08</v>
      </c>
      <c r="AF37" s="205">
        <v>0.18</v>
      </c>
      <c r="AG37" s="207">
        <v>3.08</v>
      </c>
      <c r="AH37" s="205">
        <v>0.4</v>
      </c>
      <c r="AI37" s="205">
        <v>0.309</v>
      </c>
      <c r="AJ37" s="205">
        <v>0.56200000000000006</v>
      </c>
      <c r="AK37" s="205">
        <v>0.436</v>
      </c>
      <c r="AL37" s="206" t="s">
        <v>238</v>
      </c>
    </row>
    <row r="38" spans="1:38" ht="45" customHeight="1">
      <c r="A38" s="318"/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204" t="s">
        <v>239</v>
      </c>
      <c r="AE38" s="205">
        <v>0.38</v>
      </c>
      <c r="AF38" s="205">
        <v>0.86</v>
      </c>
      <c r="AG38" s="207">
        <v>2.11</v>
      </c>
      <c r="AH38" s="205">
        <v>9.5000000000000001E-2</v>
      </c>
      <c r="AI38" s="205">
        <v>7.4999999999999997E-2</v>
      </c>
      <c r="AJ38" s="206" t="s">
        <v>89</v>
      </c>
      <c r="AK38" s="206" t="s">
        <v>89</v>
      </c>
      <c r="AL38" s="206" t="s">
        <v>240</v>
      </c>
    </row>
    <row r="39" spans="1:38" ht="45" customHeight="1">
      <c r="A39" s="302"/>
      <c r="B39" s="302"/>
      <c r="C39" s="302"/>
      <c r="D39" s="302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204" t="s">
        <v>241</v>
      </c>
      <c r="AE39" s="205">
        <v>0.53</v>
      </c>
      <c r="AF39" s="205">
        <v>1.25</v>
      </c>
      <c r="AG39" s="207">
        <v>2.63</v>
      </c>
      <c r="AH39" s="206" t="s">
        <v>89</v>
      </c>
      <c r="AI39" s="206" t="s">
        <v>89</v>
      </c>
      <c r="AJ39" s="205">
        <v>3.5000000000000003E-2</v>
      </c>
      <c r="AK39" s="205">
        <v>3.9E-2</v>
      </c>
      <c r="AL39" s="206" t="s">
        <v>242</v>
      </c>
    </row>
    <row r="40" spans="1:38" ht="45" customHeight="1">
      <c r="A40" s="197">
        <v>17</v>
      </c>
      <c r="B40" s="198" t="s">
        <v>243</v>
      </c>
      <c r="C40" s="199" t="s">
        <v>264</v>
      </c>
      <c r="D40" s="200" t="s">
        <v>269</v>
      </c>
      <c r="E40" s="212"/>
      <c r="F40" s="199"/>
      <c r="G40" s="199"/>
      <c r="H40" s="199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</row>
    <row r="41" spans="1:38" ht="45" customHeight="1">
      <c r="A41" s="208">
        <v>18</v>
      </c>
      <c r="B41" s="209" t="s">
        <v>245</v>
      </c>
      <c r="C41" s="199" t="s">
        <v>264</v>
      </c>
      <c r="D41" s="199" t="s">
        <v>270</v>
      </c>
      <c r="E41" s="201"/>
      <c r="F41" s="212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2"/>
      <c r="AE41" s="212"/>
      <c r="AF41" s="212"/>
      <c r="AG41" s="212"/>
      <c r="AH41" s="212"/>
      <c r="AI41" s="212"/>
      <c r="AJ41" s="212"/>
      <c r="AK41" s="212"/>
      <c r="AL41" s="212"/>
    </row>
    <row r="42" spans="1:38" ht="45" customHeight="1">
      <c r="A42" s="208">
        <v>19</v>
      </c>
      <c r="B42" s="209" t="s">
        <v>247</v>
      </c>
      <c r="C42" s="199" t="s">
        <v>264</v>
      </c>
      <c r="D42" s="199" t="s">
        <v>270</v>
      </c>
      <c r="E42" s="201"/>
      <c r="F42" s="212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2"/>
      <c r="AE42" s="212"/>
      <c r="AF42" s="212"/>
      <c r="AG42" s="212"/>
      <c r="AH42" s="212"/>
      <c r="AI42" s="212"/>
      <c r="AJ42" s="212"/>
      <c r="AK42" s="212"/>
      <c r="AL42" s="212"/>
    </row>
    <row r="43" spans="1:38" ht="45" customHeight="1">
      <c r="A43" s="208">
        <v>20</v>
      </c>
      <c r="B43" s="209" t="s">
        <v>248</v>
      </c>
      <c r="C43" s="199" t="s">
        <v>264</v>
      </c>
      <c r="D43" s="199" t="s">
        <v>270</v>
      </c>
      <c r="E43" s="201"/>
      <c r="F43" s="212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2"/>
      <c r="AE43" s="212"/>
      <c r="AF43" s="212"/>
      <c r="AG43" s="212"/>
      <c r="AH43" s="212"/>
      <c r="AI43" s="212"/>
      <c r="AJ43" s="212"/>
      <c r="AK43" s="212"/>
      <c r="AL43" s="212"/>
    </row>
  </sheetData>
  <mergeCells count="298">
    <mergeCell ref="Z37:Z39"/>
    <mergeCell ref="AA37:AA39"/>
    <mergeCell ref="AB37:AB39"/>
    <mergeCell ref="AC37:AC39"/>
    <mergeCell ref="O37:O39"/>
    <mergeCell ref="P37:P39"/>
    <mergeCell ref="Q37:Q39"/>
    <mergeCell ref="R37:R39"/>
    <mergeCell ref="S37:S39"/>
    <mergeCell ref="T37:T39"/>
    <mergeCell ref="U37:U39"/>
    <mergeCell ref="J37:J39"/>
    <mergeCell ref="K37:K39"/>
    <mergeCell ref="L37:L39"/>
    <mergeCell ref="M37:M39"/>
    <mergeCell ref="N37:N39"/>
    <mergeCell ref="V37:V39"/>
    <mergeCell ref="W37:W39"/>
    <mergeCell ref="X37:X39"/>
    <mergeCell ref="Y37:Y39"/>
    <mergeCell ref="A37:A39"/>
    <mergeCell ref="B37:B39"/>
    <mergeCell ref="C37:C39"/>
    <mergeCell ref="D37:D39"/>
    <mergeCell ref="E37:E39"/>
    <mergeCell ref="F37:F39"/>
    <mergeCell ref="G37:G39"/>
    <mergeCell ref="H37:H39"/>
    <mergeCell ref="I37:I39"/>
    <mergeCell ref="W20:W21"/>
    <mergeCell ref="X20:X21"/>
    <mergeCell ref="Y20:Y21"/>
    <mergeCell ref="Z20:Z21"/>
    <mergeCell ref="AA20:AA21"/>
    <mergeCell ref="AB20:AB21"/>
    <mergeCell ref="AC20:AC21"/>
    <mergeCell ref="A17:AL17"/>
    <mergeCell ref="A19:AL19"/>
    <mergeCell ref="A20:A21"/>
    <mergeCell ref="B20:B21"/>
    <mergeCell ref="C20:C21"/>
    <mergeCell ref="D20:D21"/>
    <mergeCell ref="E20:E21"/>
    <mergeCell ref="O11:O12"/>
    <mergeCell ref="P11:P12"/>
    <mergeCell ref="Q11:Q12"/>
    <mergeCell ref="R11:R12"/>
    <mergeCell ref="X14:X16"/>
    <mergeCell ref="Y14:Y16"/>
    <mergeCell ref="Q14:Q16"/>
    <mergeCell ref="R14:R16"/>
    <mergeCell ref="S14:S16"/>
    <mergeCell ref="T14:T16"/>
    <mergeCell ref="U14:U16"/>
    <mergeCell ref="V14:V16"/>
    <mergeCell ref="W14:W16"/>
    <mergeCell ref="A11:A12"/>
    <mergeCell ref="B11:B12"/>
    <mergeCell ref="C11:C12"/>
    <mergeCell ref="D11:D12"/>
    <mergeCell ref="E11:E12"/>
    <mergeCell ref="F11:F12"/>
    <mergeCell ref="G11:G12"/>
    <mergeCell ref="A14:A16"/>
    <mergeCell ref="B14:B16"/>
    <mergeCell ref="C14:C16"/>
    <mergeCell ref="D14:D16"/>
    <mergeCell ref="E14:E16"/>
    <mergeCell ref="F14:F16"/>
    <mergeCell ref="G14:G16"/>
    <mergeCell ref="Z11:Z12"/>
    <mergeCell ref="AA11:AA12"/>
    <mergeCell ref="AB11:AB12"/>
    <mergeCell ref="AC11:AC12"/>
    <mergeCell ref="Z14:Z16"/>
    <mergeCell ref="AA14:AA16"/>
    <mergeCell ref="AB14:AB16"/>
    <mergeCell ref="AC14:AC16"/>
    <mergeCell ref="S11:S12"/>
    <mergeCell ref="T11:T12"/>
    <mergeCell ref="U11:U12"/>
    <mergeCell ref="V11:V12"/>
    <mergeCell ref="W11:W12"/>
    <mergeCell ref="X11:X12"/>
    <mergeCell ref="Y11:Y12"/>
    <mergeCell ref="J14:J16"/>
    <mergeCell ref="K14:K16"/>
    <mergeCell ref="L14:L16"/>
    <mergeCell ref="M14:M16"/>
    <mergeCell ref="N14:N16"/>
    <mergeCell ref="F7:F8"/>
    <mergeCell ref="G7:G8"/>
    <mergeCell ref="I7:I8"/>
    <mergeCell ref="J7:J8"/>
    <mergeCell ref="K7:K8"/>
    <mergeCell ref="L7:L8"/>
    <mergeCell ref="M7:M8"/>
    <mergeCell ref="H11:H12"/>
    <mergeCell ref="I11:I12"/>
    <mergeCell ref="N7:N8"/>
    <mergeCell ref="N11:N12"/>
    <mergeCell ref="X7:X8"/>
    <mergeCell ref="Y7:Y8"/>
    <mergeCell ref="Z7:Z8"/>
    <mergeCell ref="AA7:AA8"/>
    <mergeCell ref="AB7:AB8"/>
    <mergeCell ref="AC7:AC8"/>
    <mergeCell ref="A10:AL10"/>
    <mergeCell ref="S4:S6"/>
    <mergeCell ref="T4:T6"/>
    <mergeCell ref="S7:S8"/>
    <mergeCell ref="T7:T8"/>
    <mergeCell ref="U7:U8"/>
    <mergeCell ref="V7:V8"/>
    <mergeCell ref="W7:W8"/>
    <mergeCell ref="O7:O8"/>
    <mergeCell ref="W4:W6"/>
    <mergeCell ref="X4:X6"/>
    <mergeCell ref="Y4:Y6"/>
    <mergeCell ref="Z4:Z6"/>
    <mergeCell ref="AA4:AA6"/>
    <mergeCell ref="AB4:AB6"/>
    <mergeCell ref="A2:AL2"/>
    <mergeCell ref="A4:A6"/>
    <mergeCell ref="B4:B6"/>
    <mergeCell ref="C4:C6"/>
    <mergeCell ref="D4:D6"/>
    <mergeCell ref="E4:E6"/>
    <mergeCell ref="F4:F6"/>
    <mergeCell ref="AC4:AC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A32:A35"/>
    <mergeCell ref="B32:B35"/>
    <mergeCell ref="C32:C35"/>
    <mergeCell ref="D32:D35"/>
    <mergeCell ref="E32:E35"/>
    <mergeCell ref="F32:F35"/>
    <mergeCell ref="G32:G35"/>
    <mergeCell ref="U4:U6"/>
    <mergeCell ref="V4:V6"/>
    <mergeCell ref="P7:P8"/>
    <mergeCell ref="Q7:Q8"/>
    <mergeCell ref="R7:R8"/>
    <mergeCell ref="G4:G6"/>
    <mergeCell ref="H4:H6"/>
    <mergeCell ref="A7:A8"/>
    <mergeCell ref="B7:B8"/>
    <mergeCell ref="C7:C8"/>
    <mergeCell ref="D7:D8"/>
    <mergeCell ref="E7:E8"/>
    <mergeCell ref="H7:H8"/>
    <mergeCell ref="O14:O16"/>
    <mergeCell ref="P14:P16"/>
    <mergeCell ref="H14:H16"/>
    <mergeCell ref="I14:I16"/>
    <mergeCell ref="X32:X33"/>
    <mergeCell ref="Y32:Y33"/>
    <mergeCell ref="Z32:Z33"/>
    <mergeCell ref="AA32:AA33"/>
    <mergeCell ref="Q34:Q35"/>
    <mergeCell ref="R34:R35"/>
    <mergeCell ref="U34:U35"/>
    <mergeCell ref="V34:V35"/>
    <mergeCell ref="W34:W35"/>
    <mergeCell ref="X34:X35"/>
    <mergeCell ref="Y34:Y35"/>
    <mergeCell ref="Z34:Z35"/>
    <mergeCell ref="AA34:AA35"/>
    <mergeCell ref="H32:H35"/>
    <mergeCell ref="I32:I35"/>
    <mergeCell ref="J32:J35"/>
    <mergeCell ref="K32:K35"/>
    <mergeCell ref="L32:L35"/>
    <mergeCell ref="M32:M35"/>
    <mergeCell ref="N32:N35"/>
    <mergeCell ref="V32:V33"/>
    <mergeCell ref="W32:W33"/>
    <mergeCell ref="U32:U33"/>
    <mergeCell ref="V28:V31"/>
    <mergeCell ref="W28:W31"/>
    <mergeCell ref="O28:O31"/>
    <mergeCell ref="P28:P31"/>
    <mergeCell ref="Q28:Q31"/>
    <mergeCell ref="R28:R31"/>
    <mergeCell ref="S28:S31"/>
    <mergeCell ref="T28:T31"/>
    <mergeCell ref="U28:U31"/>
    <mergeCell ref="M28:M31"/>
    <mergeCell ref="N28:N31"/>
    <mergeCell ref="S34:S35"/>
    <mergeCell ref="T34:T35"/>
    <mergeCell ref="O32:O35"/>
    <mergeCell ref="P32:P35"/>
    <mergeCell ref="Q32:Q33"/>
    <mergeCell ref="R32:R33"/>
    <mergeCell ref="S32:S33"/>
    <mergeCell ref="T32:T33"/>
    <mergeCell ref="A26:AL26"/>
    <mergeCell ref="F22:F23"/>
    <mergeCell ref="G22:G23"/>
    <mergeCell ref="A24:A25"/>
    <mergeCell ref="B24:B25"/>
    <mergeCell ref="C24:C25"/>
    <mergeCell ref="D24:D25"/>
    <mergeCell ref="E24:E25"/>
    <mergeCell ref="A28:A31"/>
    <mergeCell ref="B28:B31"/>
    <mergeCell ref="C28:C31"/>
    <mergeCell ref="D28:D31"/>
    <mergeCell ref="E28:E31"/>
    <mergeCell ref="F28:F31"/>
    <mergeCell ref="G28:G31"/>
    <mergeCell ref="X28:X31"/>
    <mergeCell ref="Y28:Y31"/>
    <mergeCell ref="Z28:Z31"/>
    <mergeCell ref="AA28:AA31"/>
    <mergeCell ref="H28:H31"/>
    <mergeCell ref="I28:I31"/>
    <mergeCell ref="J28:J31"/>
    <mergeCell ref="K28:K31"/>
    <mergeCell ref="L28:L31"/>
    <mergeCell ref="O24:O25"/>
    <mergeCell ref="P24:P25"/>
    <mergeCell ref="Q24:Q25"/>
    <mergeCell ref="R24:R25"/>
    <mergeCell ref="S24:S25"/>
    <mergeCell ref="AA24:AA25"/>
    <mergeCell ref="AB24:AB25"/>
    <mergeCell ref="AC24:AC25"/>
    <mergeCell ref="T24:T25"/>
    <mergeCell ref="U24:U25"/>
    <mergeCell ref="V24:V25"/>
    <mergeCell ref="W24:W25"/>
    <mergeCell ref="X24:X25"/>
    <mergeCell ref="Y24:Y25"/>
    <mergeCell ref="Z24:Z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Z22:Z23"/>
    <mergeCell ref="AA22:AA23"/>
    <mergeCell ref="AB22:AB23"/>
    <mergeCell ref="AC22:AC23"/>
    <mergeCell ref="P22:P23"/>
    <mergeCell ref="Q22:Q23"/>
    <mergeCell ref="R22:R23"/>
    <mergeCell ref="S22:S23"/>
    <mergeCell ref="T22:T23"/>
    <mergeCell ref="U22:U23"/>
    <mergeCell ref="V22:V23"/>
    <mergeCell ref="Q20:Q21"/>
    <mergeCell ref="A22:A23"/>
    <mergeCell ref="B22:B23"/>
    <mergeCell ref="C22:C23"/>
    <mergeCell ref="D22:D23"/>
    <mergeCell ref="E22:E23"/>
    <mergeCell ref="W22:W23"/>
    <mergeCell ref="X22:X23"/>
    <mergeCell ref="Y22:Y23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R20:R21"/>
    <mergeCell ref="S20:S21"/>
    <mergeCell ref="T20:T21"/>
    <mergeCell ref="U20:U21"/>
    <mergeCell ref="V20:V21"/>
    <mergeCell ref="H22:H23"/>
    <mergeCell ref="I22:I23"/>
    <mergeCell ref="J22:J23"/>
    <mergeCell ref="K22:K23"/>
    <mergeCell ref="L22:L23"/>
    <mergeCell ref="M22:M23"/>
    <mergeCell ref="N22:N23"/>
    <mergeCell ref="O22:O23"/>
    <mergeCell ref="P20:P21"/>
  </mergeCells>
  <hyperlinks>
    <hyperlink ref="AD3" r:id="rId1" xr:uid="{00000000-0004-0000-0100-000000000000}"/>
    <hyperlink ref="AD4" r:id="rId2" xr:uid="{00000000-0004-0000-0100-000001000000}"/>
    <hyperlink ref="AD5" r:id="rId3" xr:uid="{00000000-0004-0000-0100-000002000000}"/>
    <hyperlink ref="AD6" r:id="rId4" xr:uid="{00000000-0004-0000-0100-000003000000}"/>
    <hyperlink ref="AD7" r:id="rId5" xr:uid="{00000000-0004-0000-0100-000004000000}"/>
    <hyperlink ref="AD8" r:id="rId6" xr:uid="{00000000-0004-0000-0100-000005000000}"/>
    <hyperlink ref="AD9" r:id="rId7" xr:uid="{00000000-0004-0000-0100-000006000000}"/>
    <hyperlink ref="AD11" r:id="rId8" xr:uid="{00000000-0004-0000-0100-000007000000}"/>
    <hyperlink ref="AD12" r:id="rId9" xr:uid="{00000000-0004-0000-0100-000008000000}"/>
    <hyperlink ref="AD13" r:id="rId10" xr:uid="{00000000-0004-0000-0100-000009000000}"/>
    <hyperlink ref="AD14" r:id="rId11" xr:uid="{00000000-0004-0000-0100-00000A000000}"/>
    <hyperlink ref="AD15" r:id="rId12" xr:uid="{00000000-0004-0000-0100-00000B000000}"/>
    <hyperlink ref="AD16" r:id="rId13" xr:uid="{00000000-0004-0000-0100-00000C000000}"/>
    <hyperlink ref="AD18" r:id="rId14" xr:uid="{00000000-0004-0000-0100-00000D000000}"/>
    <hyperlink ref="AD20" r:id="rId15" xr:uid="{00000000-0004-0000-0100-00000E000000}"/>
    <hyperlink ref="AD21" r:id="rId16" xr:uid="{00000000-0004-0000-0100-00000F000000}"/>
    <hyperlink ref="AD22" r:id="rId17" xr:uid="{00000000-0004-0000-0100-000010000000}"/>
    <hyperlink ref="AD23" r:id="rId18" xr:uid="{00000000-0004-0000-0100-000011000000}"/>
    <hyperlink ref="AD24" r:id="rId19" xr:uid="{00000000-0004-0000-0100-000012000000}"/>
    <hyperlink ref="AD25" r:id="rId20" xr:uid="{00000000-0004-0000-0100-000013000000}"/>
    <hyperlink ref="AD27" r:id="rId21" xr:uid="{00000000-0004-0000-0100-000014000000}"/>
    <hyperlink ref="AD28" r:id="rId22" xr:uid="{00000000-0004-0000-0100-000015000000}"/>
    <hyperlink ref="AD29" r:id="rId23" xr:uid="{00000000-0004-0000-0100-000016000000}"/>
    <hyperlink ref="AD30" r:id="rId24" xr:uid="{00000000-0004-0000-0100-000017000000}"/>
    <hyperlink ref="AD31" r:id="rId25" xr:uid="{00000000-0004-0000-0100-000018000000}"/>
    <hyperlink ref="AD32" r:id="rId26" xr:uid="{00000000-0004-0000-0100-000019000000}"/>
    <hyperlink ref="AD33" r:id="rId27" xr:uid="{00000000-0004-0000-0100-00001A000000}"/>
    <hyperlink ref="AD34" r:id="rId28" xr:uid="{00000000-0004-0000-0100-00001B000000}"/>
    <hyperlink ref="AD35" r:id="rId29" xr:uid="{00000000-0004-0000-0100-00001C000000}"/>
    <hyperlink ref="AD36" r:id="rId30" xr:uid="{00000000-0004-0000-0100-00001D000000}"/>
    <hyperlink ref="AD37" r:id="rId31" xr:uid="{00000000-0004-0000-0100-00001E000000}"/>
    <hyperlink ref="AD38" r:id="rId32" xr:uid="{00000000-0004-0000-0100-00001F000000}"/>
    <hyperlink ref="AD39" r:id="rId33" xr:uid="{00000000-0004-0000-0100-00002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Rarranged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Rezi Getsadze</cp:lastModifiedBy>
  <dcterms:modified xsi:type="dcterms:W3CDTF">2024-04-02T07:45:11Z</dcterms:modified>
</cp:coreProperties>
</file>