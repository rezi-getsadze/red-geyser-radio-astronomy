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8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https://nyu0-my.sharepoint.com/personal/rg3940_nyu_edu/Documents/GoodNotes/NYU/Senior/Capstone Seminar/"/>
    </mc:Choice>
  </mc:AlternateContent>
  <xr:revisionPtr revIDLastSave="282" documentId="13_ncr:1_{1BD1AF77-C39E-AB42-9B50-72BD06023C75}" xr6:coauthVersionLast="47" xr6:coauthVersionMax="47" xr10:uidLastSave="{B89FA535-49E5-8546-9211-E3FA489AE38E}"/>
  <bookViews>
    <workbookView xWindow="40" yWindow="760" windowWidth="30200" windowHeight="17020" activeTab="1" xr2:uid="{00000000-000D-0000-FFFF-FFFF00000000}"/>
  </bookViews>
  <sheets>
    <sheet name="1st bg284b" sheetId="10" r:id="rId1"/>
    <sheet name="2nd bg284d" sheetId="9" r:id="rId2"/>
    <sheet name="3rd bg284f" sheetId="8" r:id="rId3"/>
    <sheet name="4th bg284g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7" i="10" l="1"/>
  <c r="P83" i="10"/>
  <c r="Q83" i="10"/>
  <c r="R83" i="10"/>
  <c r="S83" i="10"/>
  <c r="P84" i="10"/>
  <c r="Q84" i="10"/>
  <c r="R84" i="10"/>
  <c r="S84" i="10"/>
  <c r="P85" i="10"/>
  <c r="Q85" i="10"/>
  <c r="R85" i="10"/>
  <c r="S85" i="10"/>
  <c r="P86" i="10"/>
  <c r="Q86" i="10"/>
  <c r="R86" i="10"/>
  <c r="S86" i="10"/>
  <c r="P87" i="10"/>
  <c r="Q87" i="10"/>
  <c r="R87" i="10"/>
  <c r="S87" i="10"/>
  <c r="P88" i="10"/>
  <c r="Q88" i="10"/>
  <c r="R88" i="10"/>
  <c r="S88" i="10"/>
  <c r="P89" i="10"/>
  <c r="Q89" i="10"/>
  <c r="R89" i="10"/>
  <c r="S89" i="10"/>
  <c r="P90" i="10"/>
  <c r="Q90" i="10"/>
  <c r="R90" i="10"/>
  <c r="S90" i="10"/>
  <c r="P91" i="10"/>
  <c r="Q91" i="10"/>
  <c r="R91" i="10"/>
  <c r="S91" i="10"/>
  <c r="P92" i="10"/>
  <c r="Q92" i="10"/>
  <c r="R92" i="10"/>
  <c r="S92" i="10"/>
  <c r="P97" i="10"/>
  <c r="Q97" i="10"/>
  <c r="S97" i="10"/>
  <c r="P98" i="10"/>
  <c r="Q98" i="10"/>
  <c r="R98" i="10"/>
  <c r="S98" i="10"/>
  <c r="P99" i="10"/>
  <c r="Q99" i="10"/>
  <c r="R99" i="10"/>
  <c r="S99" i="10"/>
  <c r="P100" i="10"/>
  <c r="Q100" i="10"/>
  <c r="R100" i="10"/>
  <c r="S100" i="10"/>
  <c r="P101" i="10"/>
  <c r="Q101" i="10"/>
  <c r="R101" i="10"/>
  <c r="S101" i="10"/>
  <c r="P102" i="10"/>
  <c r="Q102" i="10"/>
  <c r="R102" i="10"/>
  <c r="S102" i="10"/>
  <c r="P103" i="10"/>
  <c r="Q103" i="10"/>
  <c r="R103" i="10"/>
  <c r="S103" i="10"/>
  <c r="P104" i="10"/>
  <c r="Q104" i="10"/>
  <c r="R104" i="10"/>
  <c r="S104" i="10"/>
  <c r="P105" i="10"/>
  <c r="Q105" i="10"/>
  <c r="R105" i="10"/>
  <c r="S105" i="10"/>
  <c r="P106" i="10"/>
  <c r="Q106" i="10"/>
  <c r="R106" i="10"/>
  <c r="S106" i="10"/>
  <c r="P107" i="10"/>
  <c r="Q107" i="10"/>
  <c r="R107" i="10"/>
  <c r="S107" i="10"/>
  <c r="P108" i="10"/>
  <c r="Q108" i="10"/>
  <c r="R108" i="10"/>
  <c r="S108" i="10"/>
  <c r="S109" i="10"/>
  <c r="S110" i="10"/>
  <c r="S111" i="10"/>
  <c r="S112" i="10"/>
  <c r="S113" i="10"/>
  <c r="S114" i="10"/>
  <c r="S115" i="10"/>
  <c r="S116" i="10"/>
  <c r="S117" i="10"/>
  <c r="S82" i="10"/>
  <c r="D97" i="10"/>
  <c r="D98" i="10"/>
  <c r="D99" i="10"/>
  <c r="D100" i="10"/>
  <c r="C97" i="10"/>
  <c r="C98" i="10"/>
  <c r="C99" i="10"/>
  <c r="C100" i="10"/>
  <c r="C117" i="10"/>
  <c r="C102" i="10"/>
  <c r="D102" i="10"/>
  <c r="C103" i="10"/>
  <c r="D103" i="10"/>
  <c r="C104" i="10"/>
  <c r="D104" i="10"/>
  <c r="C105" i="10"/>
  <c r="D105" i="10"/>
  <c r="C106" i="10"/>
  <c r="D106" i="10"/>
  <c r="C107" i="10"/>
  <c r="D107" i="10"/>
  <c r="C108" i="10"/>
  <c r="D108" i="10"/>
  <c r="C109" i="10"/>
  <c r="D109" i="10"/>
  <c r="C110" i="10"/>
  <c r="D110" i="10"/>
  <c r="C111" i="10"/>
  <c r="D111" i="10"/>
  <c r="C112" i="10"/>
  <c r="D112" i="10"/>
  <c r="C113" i="10"/>
  <c r="D113" i="10"/>
  <c r="C114" i="10"/>
  <c r="D114" i="10"/>
  <c r="C115" i="10"/>
  <c r="D115" i="10"/>
  <c r="C116" i="10"/>
  <c r="D116" i="10"/>
  <c r="D101" i="10"/>
  <c r="C101" i="10"/>
  <c r="P109" i="10"/>
  <c r="Q109" i="10"/>
  <c r="R109" i="10"/>
  <c r="P110" i="10"/>
  <c r="Q110" i="10"/>
  <c r="R110" i="10"/>
  <c r="P111" i="10"/>
  <c r="Q111" i="10"/>
  <c r="R111" i="10"/>
  <c r="P112" i="10"/>
  <c r="Q112" i="10"/>
  <c r="R112" i="10"/>
  <c r="P113" i="10"/>
  <c r="Q113" i="10"/>
  <c r="R113" i="10"/>
  <c r="P114" i="10"/>
  <c r="Q114" i="10"/>
  <c r="R114" i="10"/>
  <c r="P115" i="10"/>
  <c r="Q115" i="10"/>
  <c r="R115" i="10"/>
  <c r="P116" i="10"/>
  <c r="Q116" i="10"/>
  <c r="R116" i="10"/>
  <c r="P117" i="10"/>
  <c r="Q117" i="10"/>
  <c r="R117" i="10"/>
  <c r="T117" i="10"/>
  <c r="T116" i="10"/>
  <c r="T115" i="10"/>
  <c r="T114" i="10"/>
  <c r="T113" i="10"/>
  <c r="T112" i="10"/>
  <c r="T111" i="10"/>
  <c r="T110" i="10"/>
  <c r="T109" i="10"/>
  <c r="T108" i="10"/>
  <c r="T107" i="10"/>
  <c r="T106" i="10"/>
  <c r="T105" i="10"/>
  <c r="T104" i="10"/>
  <c r="T103" i="10"/>
  <c r="T102" i="10"/>
  <c r="T101" i="10"/>
  <c r="T100" i="10"/>
  <c r="T99" i="10"/>
  <c r="T98" i="10"/>
  <c r="T97" i="10"/>
  <c r="K108" i="10"/>
  <c r="K109" i="10"/>
  <c r="K110" i="10"/>
  <c r="K111" i="10"/>
  <c r="K112" i="10"/>
  <c r="K113" i="10"/>
  <c r="K114" i="10"/>
  <c r="K115" i="10"/>
  <c r="K116" i="10"/>
  <c r="K117" i="10"/>
  <c r="K107" i="10"/>
  <c r="K106" i="10"/>
  <c r="K105" i="10"/>
  <c r="K104" i="10"/>
  <c r="K103" i="10"/>
  <c r="K102" i="10"/>
  <c r="K101" i="10"/>
  <c r="K100" i="10"/>
  <c r="K99" i="10"/>
  <c r="K98" i="10"/>
  <c r="K97" i="10"/>
  <c r="R47" i="10"/>
  <c r="H49" i="10"/>
  <c r="P47" i="10"/>
  <c r="Y114" i="11"/>
  <c r="AB114" i="11" s="1"/>
  <c r="AC114" i="11" s="1"/>
  <c r="Y115" i="11"/>
  <c r="Y116" i="11"/>
  <c r="Y117" i="11"/>
  <c r="Y118" i="11"/>
  <c r="Y119" i="11"/>
  <c r="Y113" i="11"/>
  <c r="Z118" i="11"/>
  <c r="AB118" i="11" s="1"/>
  <c r="AC118" i="11" s="1"/>
  <c r="Z119" i="11"/>
  <c r="AB119" i="11" s="1"/>
  <c r="AC119" i="11" s="1"/>
  <c r="Z113" i="11"/>
  <c r="AB113" i="11" s="1"/>
  <c r="AC113" i="11" s="1"/>
  <c r="Z114" i="11"/>
  <c r="Z115" i="11"/>
  <c r="AB115" i="11" s="1"/>
  <c r="AC115" i="11" s="1"/>
  <c r="Z116" i="11"/>
  <c r="AB116" i="11" s="1"/>
  <c r="AC116" i="11" s="1"/>
  <c r="Z117" i="11"/>
  <c r="AB117" i="11" s="1"/>
  <c r="AC117" i="11" s="1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75" i="9"/>
  <c r="C69" i="9"/>
  <c r="AD7" i="10"/>
  <c r="AD8" i="10"/>
  <c r="AD9" i="10"/>
  <c r="AD10" i="10"/>
  <c r="AD11" i="10"/>
  <c r="AC7" i="10"/>
  <c r="AC8" i="10"/>
  <c r="AC9" i="10"/>
  <c r="AC10" i="10"/>
  <c r="AC11" i="10"/>
  <c r="AC6" i="10"/>
  <c r="G11" i="10"/>
  <c r="G33" i="10" s="1"/>
  <c r="G13" i="10"/>
  <c r="G35" i="10" s="1"/>
  <c r="AJ27" i="10"/>
  <c r="AK27" i="10"/>
  <c r="AH28" i="10"/>
  <c r="D28" i="10" s="1"/>
  <c r="AI28" i="10"/>
  <c r="AJ28" i="10"/>
  <c r="AK28" i="10"/>
  <c r="J28" i="10" s="1"/>
  <c r="AH29" i="10"/>
  <c r="AI29" i="10"/>
  <c r="AJ29" i="10"/>
  <c r="I29" i="10" s="1"/>
  <c r="AK29" i="10"/>
  <c r="J29" i="10" s="1"/>
  <c r="AH30" i="10"/>
  <c r="AI30" i="10"/>
  <c r="AJ30" i="10"/>
  <c r="AK30" i="10"/>
  <c r="J30" i="10" s="1"/>
  <c r="AH31" i="10"/>
  <c r="AI31" i="10"/>
  <c r="AJ31" i="10"/>
  <c r="AK31" i="10"/>
  <c r="J31" i="10" s="1"/>
  <c r="AH32" i="10"/>
  <c r="D32" i="10" s="1"/>
  <c r="AI32" i="10"/>
  <c r="E32" i="10" s="1"/>
  <c r="AJ32" i="10"/>
  <c r="AK32" i="10"/>
  <c r="AH33" i="10"/>
  <c r="AI33" i="10"/>
  <c r="AJ33" i="10"/>
  <c r="AK33" i="10"/>
  <c r="AJ34" i="10"/>
  <c r="AK34" i="10"/>
  <c r="AH35" i="10"/>
  <c r="AI35" i="10"/>
  <c r="AJ35" i="10"/>
  <c r="I35" i="10" s="1"/>
  <c r="AK35" i="10"/>
  <c r="AJ37" i="10"/>
  <c r="I37" i="10" s="1"/>
  <c r="AK37" i="10"/>
  <c r="J37" i="10" s="1"/>
  <c r="AJ38" i="10"/>
  <c r="AK38" i="10"/>
  <c r="AI26" i="10"/>
  <c r="AH26" i="10"/>
  <c r="AG37" i="10"/>
  <c r="AG45" i="10"/>
  <c r="AG26" i="10"/>
  <c r="AG27" i="10"/>
  <c r="AG28" i="10"/>
  <c r="AG29" i="10"/>
  <c r="AG30" i="10"/>
  <c r="AG31" i="10"/>
  <c r="AG32" i="10"/>
  <c r="AG33" i="10"/>
  <c r="AG34" i="10"/>
  <c r="AG35" i="10"/>
  <c r="AG36" i="10"/>
  <c r="AG38" i="10"/>
  <c r="AG39" i="10"/>
  <c r="AG40" i="10"/>
  <c r="AG41" i="10"/>
  <c r="AG42" i="10"/>
  <c r="AG43" i="10"/>
  <c r="AG44" i="10"/>
  <c r="K28" i="10"/>
  <c r="K29" i="10"/>
  <c r="K30" i="10"/>
  <c r="K31" i="10"/>
  <c r="K32" i="10"/>
  <c r="K33" i="10"/>
  <c r="K34" i="10"/>
  <c r="K35" i="10"/>
  <c r="K37" i="10"/>
  <c r="K38" i="10"/>
  <c r="J32" i="10"/>
  <c r="J33" i="10"/>
  <c r="J34" i="10"/>
  <c r="J35" i="10"/>
  <c r="J38" i="10"/>
  <c r="I28" i="10"/>
  <c r="I30" i="10"/>
  <c r="I31" i="10"/>
  <c r="I32" i="10"/>
  <c r="I33" i="10"/>
  <c r="I34" i="10"/>
  <c r="I38" i="10"/>
  <c r="H28" i="10"/>
  <c r="H29" i="10"/>
  <c r="H30" i="10"/>
  <c r="H31" i="10"/>
  <c r="H32" i="10"/>
  <c r="H33" i="10"/>
  <c r="H34" i="10"/>
  <c r="H35" i="10"/>
  <c r="H37" i="10"/>
  <c r="H38" i="10"/>
  <c r="L28" i="10"/>
  <c r="L29" i="10"/>
  <c r="L30" i="10"/>
  <c r="L31" i="10"/>
  <c r="L32" i="10"/>
  <c r="L33" i="10"/>
  <c r="L34" i="10"/>
  <c r="L35" i="10"/>
  <c r="L37" i="10"/>
  <c r="L38" i="10"/>
  <c r="L27" i="10"/>
  <c r="E33" i="10"/>
  <c r="D33" i="10"/>
  <c r="G29" i="10"/>
  <c r="G30" i="10"/>
  <c r="G31" i="10"/>
  <c r="G32" i="10"/>
  <c r="F29" i="10"/>
  <c r="F30" i="10"/>
  <c r="F31" i="10"/>
  <c r="F32" i="10"/>
  <c r="F33" i="10"/>
  <c r="F35" i="10"/>
  <c r="C29" i="10"/>
  <c r="D29" i="10" s="1"/>
  <c r="C30" i="10"/>
  <c r="D30" i="10" s="1"/>
  <c r="C31" i="10"/>
  <c r="E31" i="10" s="1"/>
  <c r="C32" i="10"/>
  <c r="C33" i="10"/>
  <c r="C35" i="10"/>
  <c r="F7" i="10"/>
  <c r="F8" i="10"/>
  <c r="F9" i="10"/>
  <c r="F10" i="10"/>
  <c r="F11" i="10"/>
  <c r="F13" i="10"/>
  <c r="D13" i="10"/>
  <c r="G7" i="10"/>
  <c r="G8" i="10"/>
  <c r="G9" i="10"/>
  <c r="G10" i="10"/>
  <c r="C28" i="10"/>
  <c r="C26" i="10"/>
  <c r="B36" i="10"/>
  <c r="B45" i="10"/>
  <c r="B38" i="10"/>
  <c r="B27" i="10"/>
  <c r="B28" i="10"/>
  <c r="B29" i="10"/>
  <c r="B30" i="10"/>
  <c r="B31" i="10"/>
  <c r="B32" i="10"/>
  <c r="B33" i="10"/>
  <c r="B34" i="10"/>
  <c r="B35" i="10"/>
  <c r="B37" i="10"/>
  <c r="B39" i="10"/>
  <c r="B40" i="10"/>
  <c r="B41" i="10"/>
  <c r="B42" i="10"/>
  <c r="B43" i="10"/>
  <c r="B44" i="10"/>
  <c r="I15" i="10"/>
  <c r="I16" i="10"/>
  <c r="H16" i="10"/>
  <c r="K16" i="10"/>
  <c r="L16" i="10"/>
  <c r="K15" i="10"/>
  <c r="H15" i="10"/>
  <c r="H5" i="10"/>
  <c r="K6" i="10"/>
  <c r="K7" i="10"/>
  <c r="K8" i="10"/>
  <c r="K9" i="10"/>
  <c r="K10" i="10"/>
  <c r="K11" i="10"/>
  <c r="K12" i="10"/>
  <c r="K13" i="10"/>
  <c r="I5" i="10"/>
  <c r="I6" i="10"/>
  <c r="I7" i="10"/>
  <c r="I8" i="10"/>
  <c r="I9" i="10"/>
  <c r="I10" i="10"/>
  <c r="I11" i="10"/>
  <c r="I12" i="10"/>
  <c r="I13" i="10"/>
  <c r="H6" i="10"/>
  <c r="H7" i="10"/>
  <c r="H8" i="10"/>
  <c r="H9" i="10"/>
  <c r="H10" i="10"/>
  <c r="H11" i="10"/>
  <c r="H12" i="10"/>
  <c r="H13" i="10"/>
  <c r="C7" i="10"/>
  <c r="D7" i="10"/>
  <c r="C8" i="10"/>
  <c r="D8" i="10"/>
  <c r="C9" i="10"/>
  <c r="D9" i="10"/>
  <c r="C10" i="10"/>
  <c r="D10" i="10"/>
  <c r="C11" i="10"/>
  <c r="D11" i="10"/>
  <c r="C13" i="10"/>
  <c r="D6" i="10"/>
  <c r="C6" i="10"/>
  <c r="E29" i="10" l="1"/>
  <c r="E30" i="10"/>
  <c r="D31" i="10"/>
  <c r="B26" i="10"/>
  <c r="C83" i="10"/>
  <c r="D83" i="10"/>
  <c r="C84" i="10"/>
  <c r="D84" i="10"/>
  <c r="C85" i="10"/>
  <c r="D85" i="10"/>
  <c r="C86" i="10"/>
  <c r="D86" i="10"/>
  <c r="C87" i="10"/>
  <c r="D87" i="10"/>
  <c r="C88" i="10"/>
  <c r="D88" i="10"/>
  <c r="C89" i="10"/>
  <c r="D89" i="10"/>
  <c r="C90" i="10"/>
  <c r="D90" i="10"/>
  <c r="D82" i="10"/>
  <c r="C82" i="10"/>
  <c r="C92" i="10"/>
  <c r="C91" i="10"/>
  <c r="T82" i="10" l="1"/>
  <c r="T92" i="10"/>
  <c r="T91" i="10"/>
  <c r="T90" i="10"/>
  <c r="T89" i="10"/>
  <c r="T88" i="10"/>
  <c r="T87" i="10"/>
  <c r="T86" i="10"/>
  <c r="T85" i="10"/>
  <c r="T84" i="10"/>
  <c r="T83" i="10"/>
  <c r="D57" i="10"/>
  <c r="C57" i="10"/>
  <c r="C56" i="10"/>
  <c r="D55" i="10"/>
  <c r="C55" i="10"/>
  <c r="D56" i="10"/>
  <c r="C52" i="10"/>
  <c r="D52" i="10"/>
  <c r="C53" i="10"/>
  <c r="D53" i="10"/>
  <c r="C54" i="10"/>
  <c r="D54" i="10"/>
  <c r="D51" i="10"/>
  <c r="C51" i="10"/>
  <c r="C4" i="10" s="1"/>
  <c r="C59" i="10"/>
  <c r="F5" i="9" l="1"/>
  <c r="F6" i="9"/>
  <c r="F28" i="9" s="1"/>
  <c r="F7" i="9"/>
  <c r="F29" i="9" s="1"/>
  <c r="F8" i="9"/>
  <c r="F9" i="9"/>
  <c r="F31" i="9" s="1"/>
  <c r="F10" i="9"/>
  <c r="F32" i="9" s="1"/>
  <c r="F11" i="9"/>
  <c r="F33" i="9" s="1"/>
  <c r="F12" i="9"/>
  <c r="F34" i="9" s="1"/>
  <c r="F13" i="9"/>
  <c r="F14" i="9"/>
  <c r="F15" i="9"/>
  <c r="F37" i="9" s="1"/>
  <c r="F16" i="9"/>
  <c r="F38" i="9" s="1"/>
  <c r="F17" i="9"/>
  <c r="F39" i="9" s="1"/>
  <c r="F18" i="9"/>
  <c r="F40" i="9" s="1"/>
  <c r="F19" i="9"/>
  <c r="F41" i="9" s="1"/>
  <c r="F20" i="9"/>
  <c r="F42" i="9" s="1"/>
  <c r="F21" i="9"/>
  <c r="F22" i="9"/>
  <c r="F4" i="9"/>
  <c r="F27" i="9"/>
  <c r="F30" i="9"/>
  <c r="F35" i="9"/>
  <c r="F36" i="9"/>
  <c r="F43" i="9"/>
  <c r="F44" i="9"/>
  <c r="F26" i="9"/>
  <c r="G27" i="9"/>
  <c r="G30" i="9"/>
  <c r="G33" i="9"/>
  <c r="G34" i="9"/>
  <c r="G35" i="9"/>
  <c r="G38" i="9"/>
  <c r="G41" i="9"/>
  <c r="G42" i="9"/>
  <c r="G43" i="9"/>
  <c r="G5" i="9"/>
  <c r="G6" i="9"/>
  <c r="G28" i="9" s="1"/>
  <c r="G7" i="9"/>
  <c r="G29" i="9" s="1"/>
  <c r="G8" i="9"/>
  <c r="G9" i="9"/>
  <c r="G31" i="9" s="1"/>
  <c r="G10" i="9"/>
  <c r="G32" i="9" s="1"/>
  <c r="G11" i="9"/>
  <c r="G12" i="9"/>
  <c r="G13" i="9"/>
  <c r="G14" i="9"/>
  <c r="G36" i="9" s="1"/>
  <c r="G15" i="9"/>
  <c r="G37" i="9" s="1"/>
  <c r="G16" i="9"/>
  <c r="G17" i="9"/>
  <c r="G39" i="9" s="1"/>
  <c r="G18" i="9"/>
  <c r="G40" i="9" s="1"/>
  <c r="G19" i="9"/>
  <c r="G20" i="9"/>
  <c r="G21" i="9"/>
  <c r="G22" i="9"/>
  <c r="G44" i="9" s="1"/>
  <c r="G4" i="9"/>
  <c r="G26" i="9" s="1"/>
  <c r="C29" i="9"/>
  <c r="C37" i="9"/>
  <c r="D4" i="9"/>
  <c r="D8" i="9"/>
  <c r="D9" i="9"/>
  <c r="R9" i="9" s="1"/>
  <c r="R31" i="9" s="1"/>
  <c r="D12" i="9"/>
  <c r="D16" i="9"/>
  <c r="D17" i="9"/>
  <c r="R17" i="9" s="1"/>
  <c r="R39" i="9" s="1"/>
  <c r="D20" i="9"/>
  <c r="C5" i="9"/>
  <c r="R5" i="9" s="1"/>
  <c r="R27" i="9" s="1"/>
  <c r="C7" i="9"/>
  <c r="C9" i="9"/>
  <c r="S9" i="9" s="1"/>
  <c r="S31" i="9" s="1"/>
  <c r="C10" i="9"/>
  <c r="C13" i="9"/>
  <c r="C15" i="9"/>
  <c r="R15" i="9" s="1"/>
  <c r="R37" i="9" s="1"/>
  <c r="D37" i="9" s="1"/>
  <c r="C17" i="9"/>
  <c r="S17" i="9" s="1"/>
  <c r="S39" i="9" s="1"/>
  <c r="C18" i="9"/>
  <c r="C21" i="9"/>
  <c r="R21" i="9" s="1"/>
  <c r="R43" i="9" s="1"/>
  <c r="C4" i="9"/>
  <c r="R4" i="9" s="1"/>
  <c r="R26" i="9" s="1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26" i="9"/>
  <c r="C52" i="9"/>
  <c r="D52" i="9"/>
  <c r="D5" i="9" s="1"/>
  <c r="C53" i="9"/>
  <c r="C6" i="9" s="1"/>
  <c r="D53" i="9"/>
  <c r="D6" i="9" s="1"/>
  <c r="C54" i="9"/>
  <c r="D54" i="9"/>
  <c r="D7" i="9" s="1"/>
  <c r="C55" i="9"/>
  <c r="C8" i="9" s="1"/>
  <c r="D55" i="9"/>
  <c r="C56" i="9"/>
  <c r="D56" i="9"/>
  <c r="C57" i="9"/>
  <c r="D57" i="9"/>
  <c r="D10" i="9" s="1"/>
  <c r="C58" i="9"/>
  <c r="C11" i="9" s="1"/>
  <c r="D58" i="9"/>
  <c r="D11" i="9" s="1"/>
  <c r="C59" i="9"/>
  <c r="C12" i="9" s="1"/>
  <c r="D59" i="9"/>
  <c r="C60" i="9"/>
  <c r="D60" i="9"/>
  <c r="D13" i="9" s="1"/>
  <c r="C61" i="9"/>
  <c r="C14" i="9" s="1"/>
  <c r="D61" i="9"/>
  <c r="D14" i="9" s="1"/>
  <c r="C62" i="9"/>
  <c r="D62" i="9"/>
  <c r="D15" i="9" s="1"/>
  <c r="C63" i="9"/>
  <c r="C16" i="9" s="1"/>
  <c r="D63" i="9"/>
  <c r="C64" i="9"/>
  <c r="D64" i="9"/>
  <c r="C65" i="9"/>
  <c r="D65" i="9"/>
  <c r="D18" i="9" s="1"/>
  <c r="C66" i="9"/>
  <c r="C19" i="9" s="1"/>
  <c r="D66" i="9"/>
  <c r="D19" i="9" s="1"/>
  <c r="C67" i="9"/>
  <c r="C20" i="9" s="1"/>
  <c r="D67" i="9"/>
  <c r="C68" i="9"/>
  <c r="D68" i="9"/>
  <c r="D21" i="9" s="1"/>
  <c r="C22" i="9"/>
  <c r="D22" i="9"/>
  <c r="D51" i="9"/>
  <c r="C51" i="9"/>
  <c r="T69" i="9"/>
  <c r="T68" i="9"/>
  <c r="T67" i="9"/>
  <c r="T66" i="9"/>
  <c r="T65" i="9"/>
  <c r="T64" i="9"/>
  <c r="T63" i="9"/>
  <c r="T62" i="9"/>
  <c r="T61" i="9"/>
  <c r="T60" i="9"/>
  <c r="T59" i="9"/>
  <c r="T58" i="9"/>
  <c r="T57" i="9"/>
  <c r="T56" i="9"/>
  <c r="T55" i="9"/>
  <c r="T54" i="9"/>
  <c r="T53" i="9"/>
  <c r="T52" i="9"/>
  <c r="T51" i="9"/>
  <c r="S69" i="9"/>
  <c r="R69" i="9"/>
  <c r="Q69" i="9"/>
  <c r="P69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C57" i="11"/>
  <c r="C8" i="11" s="1"/>
  <c r="C33" i="11" s="1"/>
  <c r="D57" i="11"/>
  <c r="D8" i="11" s="1"/>
  <c r="AD8" i="11" s="1"/>
  <c r="C58" i="11"/>
  <c r="C9" i="11" s="1"/>
  <c r="D58" i="11"/>
  <c r="D9" i="11" s="1"/>
  <c r="C59" i="11"/>
  <c r="C10" i="11" s="1"/>
  <c r="D59" i="11"/>
  <c r="D10" i="11" s="1"/>
  <c r="C60" i="11"/>
  <c r="D60" i="11"/>
  <c r="D56" i="11"/>
  <c r="D7" i="11" s="1"/>
  <c r="C56" i="11"/>
  <c r="C7" i="11" s="1"/>
  <c r="C32" i="11" s="1"/>
  <c r="C54" i="11"/>
  <c r="C4" i="11" s="1"/>
  <c r="L12" i="11"/>
  <c r="L37" i="11" s="1"/>
  <c r="D92" i="11"/>
  <c r="D93" i="11"/>
  <c r="D94" i="11"/>
  <c r="I14" i="11" s="1"/>
  <c r="C92" i="11"/>
  <c r="C93" i="11"/>
  <c r="H13" i="11" s="1"/>
  <c r="C94" i="11"/>
  <c r="H14" i="11" s="1"/>
  <c r="H39" i="11" s="1"/>
  <c r="C91" i="11"/>
  <c r="C62" i="11"/>
  <c r="C13" i="11" s="1"/>
  <c r="C38" i="11" s="1"/>
  <c r="C63" i="11"/>
  <c r="C14" i="11" s="1"/>
  <c r="C64" i="11"/>
  <c r="C61" i="11"/>
  <c r="H42" i="11"/>
  <c r="H43" i="11"/>
  <c r="H41" i="11"/>
  <c r="B48" i="11"/>
  <c r="AG40" i="11"/>
  <c r="AG39" i="11"/>
  <c r="AG33" i="11"/>
  <c r="AG48" i="11"/>
  <c r="AG30" i="11"/>
  <c r="AG31" i="11"/>
  <c r="AG32" i="11"/>
  <c r="AG34" i="11"/>
  <c r="AG35" i="11"/>
  <c r="AG36" i="11"/>
  <c r="AG37" i="11"/>
  <c r="AG38" i="11"/>
  <c r="AG41" i="11"/>
  <c r="AG42" i="11"/>
  <c r="AG43" i="11"/>
  <c r="AG44" i="11"/>
  <c r="AG45" i="11"/>
  <c r="AG46" i="11"/>
  <c r="AG47" i="11"/>
  <c r="AG49" i="11"/>
  <c r="AG29" i="11"/>
  <c r="AK6" i="11"/>
  <c r="AK31" i="11" s="1"/>
  <c r="AK7" i="11"/>
  <c r="AK32" i="11" s="1"/>
  <c r="AJ6" i="11"/>
  <c r="AJ31" i="11" s="1"/>
  <c r="AJ7" i="11"/>
  <c r="AJ32" i="11" s="1"/>
  <c r="AI12" i="11"/>
  <c r="AI37" i="11" s="1"/>
  <c r="E37" i="11" s="1"/>
  <c r="AH6" i="11"/>
  <c r="AH31" i="11" s="1"/>
  <c r="D31" i="11" s="1"/>
  <c r="AC6" i="11"/>
  <c r="K17" i="11"/>
  <c r="K42" i="11" s="1"/>
  <c r="K18" i="11"/>
  <c r="K43" i="11" s="1"/>
  <c r="K19" i="11"/>
  <c r="K44" i="11" s="1"/>
  <c r="K20" i="11"/>
  <c r="K21" i="11"/>
  <c r="K46" i="11" s="1"/>
  <c r="K22" i="11"/>
  <c r="K47" i="11" s="1"/>
  <c r="K23" i="11"/>
  <c r="K24" i="11"/>
  <c r="K6" i="11"/>
  <c r="K31" i="11" s="1"/>
  <c r="K7" i="11"/>
  <c r="K8" i="11"/>
  <c r="K9" i="11"/>
  <c r="K10" i="11"/>
  <c r="K11" i="11"/>
  <c r="K12" i="11"/>
  <c r="K37" i="11" s="1"/>
  <c r="K13" i="11"/>
  <c r="K38" i="11" s="1"/>
  <c r="K14" i="11"/>
  <c r="K39" i="11" s="1"/>
  <c r="L17" i="11"/>
  <c r="L18" i="11"/>
  <c r="L43" i="11" s="1"/>
  <c r="L19" i="11"/>
  <c r="L44" i="11" s="1"/>
  <c r="L20" i="11"/>
  <c r="L45" i="11" s="1"/>
  <c r="L21" i="11"/>
  <c r="L46" i="11" s="1"/>
  <c r="L22" i="11"/>
  <c r="L47" i="11" s="1"/>
  <c r="L23" i="11"/>
  <c r="L48" i="11" s="1"/>
  <c r="L24" i="11"/>
  <c r="L49" i="11" s="1"/>
  <c r="L16" i="11"/>
  <c r="L41" i="11" s="1"/>
  <c r="L5" i="11"/>
  <c r="H6" i="11"/>
  <c r="I6" i="11"/>
  <c r="H7" i="11"/>
  <c r="I7" i="11"/>
  <c r="H8" i="11"/>
  <c r="AK8" i="11" s="1"/>
  <c r="AK33" i="11" s="1"/>
  <c r="I8" i="11"/>
  <c r="AJ8" i="11" s="1"/>
  <c r="AJ33" i="11" s="1"/>
  <c r="H11" i="11"/>
  <c r="AJ11" i="11" s="1"/>
  <c r="AJ36" i="11" s="1"/>
  <c r="H12" i="11"/>
  <c r="I12" i="11"/>
  <c r="I13" i="11"/>
  <c r="I5" i="11"/>
  <c r="I16" i="11"/>
  <c r="I17" i="11"/>
  <c r="I19" i="11"/>
  <c r="I23" i="11"/>
  <c r="I24" i="11"/>
  <c r="H17" i="11"/>
  <c r="AJ17" i="11" s="1"/>
  <c r="AJ42" i="11" s="1"/>
  <c r="H18" i="11"/>
  <c r="AJ18" i="11" s="1"/>
  <c r="AJ43" i="11" s="1"/>
  <c r="H24" i="11"/>
  <c r="AJ24" i="11" s="1"/>
  <c r="AJ49" i="11" s="1"/>
  <c r="H16" i="11"/>
  <c r="AK16" i="11" s="1"/>
  <c r="AK41" i="11" s="1"/>
  <c r="H36" i="11"/>
  <c r="H5" i="11"/>
  <c r="AJ5" i="11" s="1"/>
  <c r="AJ30" i="11" s="1"/>
  <c r="C103" i="11"/>
  <c r="C95" i="11"/>
  <c r="D95" i="11"/>
  <c r="C96" i="11"/>
  <c r="D96" i="11"/>
  <c r="C97" i="11"/>
  <c r="D97" i="11"/>
  <c r="I18" i="11" s="1"/>
  <c r="C98" i="11"/>
  <c r="H19" i="11" s="1"/>
  <c r="D98" i="11"/>
  <c r="C99" i="11"/>
  <c r="H20" i="11" s="1"/>
  <c r="D99" i="11"/>
  <c r="I20" i="11" s="1"/>
  <c r="C100" i="11"/>
  <c r="H21" i="11" s="1"/>
  <c r="D100" i="11"/>
  <c r="I21" i="11" s="1"/>
  <c r="C101" i="11"/>
  <c r="H22" i="11" s="1"/>
  <c r="D101" i="11"/>
  <c r="I22" i="11" s="1"/>
  <c r="C102" i="11"/>
  <c r="H23" i="11" s="1"/>
  <c r="D102" i="11"/>
  <c r="D85" i="11"/>
  <c r="D86" i="11"/>
  <c r="D87" i="11"/>
  <c r="D88" i="11"/>
  <c r="D89" i="11"/>
  <c r="I9" i="11" s="1"/>
  <c r="D90" i="11"/>
  <c r="I10" i="11" s="1"/>
  <c r="D91" i="11"/>
  <c r="I11" i="11" s="1"/>
  <c r="C86" i="11"/>
  <c r="C87" i="11"/>
  <c r="C88" i="11"/>
  <c r="C89" i="11"/>
  <c r="H9" i="11" s="1"/>
  <c r="C90" i="11"/>
  <c r="H10" i="11" s="1"/>
  <c r="C85" i="11"/>
  <c r="T103" i="11"/>
  <c r="T102" i="11"/>
  <c r="T100" i="11"/>
  <c r="T101" i="11"/>
  <c r="T99" i="11"/>
  <c r="S103" i="11"/>
  <c r="R103" i="11"/>
  <c r="Q103" i="11"/>
  <c r="P103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K49" i="11"/>
  <c r="B41" i="11"/>
  <c r="B30" i="11"/>
  <c r="B31" i="11"/>
  <c r="B32" i="11"/>
  <c r="B33" i="11"/>
  <c r="B34" i="11"/>
  <c r="B35" i="11"/>
  <c r="B36" i="11"/>
  <c r="B37" i="11"/>
  <c r="B38" i="11"/>
  <c r="B39" i="11"/>
  <c r="B40" i="11"/>
  <c r="B42" i="11"/>
  <c r="B43" i="11"/>
  <c r="B44" i="11"/>
  <c r="B45" i="11"/>
  <c r="B46" i="11"/>
  <c r="B47" i="11"/>
  <c r="B49" i="11"/>
  <c r="B29" i="11"/>
  <c r="L42" i="11"/>
  <c r="L6" i="11"/>
  <c r="L31" i="11" s="1"/>
  <c r="L7" i="11"/>
  <c r="L32" i="11" s="1"/>
  <c r="L8" i="11"/>
  <c r="L33" i="11" s="1"/>
  <c r="L9" i="11"/>
  <c r="L34" i="11" s="1"/>
  <c r="L10" i="11"/>
  <c r="L35" i="11" s="1"/>
  <c r="L11" i="11"/>
  <c r="L36" i="11" s="1"/>
  <c r="L13" i="11"/>
  <c r="L38" i="11" s="1"/>
  <c r="L14" i="11"/>
  <c r="L39" i="11" s="1"/>
  <c r="K45" i="11"/>
  <c r="K48" i="11"/>
  <c r="K16" i="11"/>
  <c r="K41" i="11" s="1"/>
  <c r="K32" i="11"/>
  <c r="K33" i="11"/>
  <c r="K34" i="11"/>
  <c r="K35" i="11"/>
  <c r="K36" i="11"/>
  <c r="H31" i="11"/>
  <c r="G7" i="11"/>
  <c r="G32" i="11" s="1"/>
  <c r="G8" i="11"/>
  <c r="G33" i="11" s="1"/>
  <c r="G9" i="11"/>
  <c r="G34" i="11" s="1"/>
  <c r="G10" i="11"/>
  <c r="G35" i="11" s="1"/>
  <c r="G11" i="11"/>
  <c r="G36" i="11" s="1"/>
  <c r="G12" i="11"/>
  <c r="G37" i="11" s="1"/>
  <c r="G13" i="11"/>
  <c r="G38" i="11" s="1"/>
  <c r="G14" i="11"/>
  <c r="G39" i="11" s="1"/>
  <c r="G15" i="11"/>
  <c r="G40" i="11" s="1"/>
  <c r="F7" i="11"/>
  <c r="F32" i="11" s="1"/>
  <c r="F8" i="11"/>
  <c r="F33" i="11" s="1"/>
  <c r="F9" i="11"/>
  <c r="F34" i="11" s="1"/>
  <c r="F10" i="11"/>
  <c r="F35" i="11" s="1"/>
  <c r="F11" i="11"/>
  <c r="F36" i="11" s="1"/>
  <c r="F12" i="11"/>
  <c r="F37" i="11" s="1"/>
  <c r="F13" i="11"/>
  <c r="F38" i="11" s="1"/>
  <c r="F14" i="11"/>
  <c r="F39" i="11" s="1"/>
  <c r="F15" i="11"/>
  <c r="F40" i="11" s="1"/>
  <c r="C11" i="11"/>
  <c r="D11" i="11"/>
  <c r="C12" i="11"/>
  <c r="C37" i="11" s="1"/>
  <c r="D12" i="11"/>
  <c r="D13" i="11"/>
  <c r="D14" i="11"/>
  <c r="C15" i="11"/>
  <c r="C40" i="11" s="1"/>
  <c r="D15" i="11"/>
  <c r="AI15" i="11" s="1"/>
  <c r="AI40" i="11" s="1"/>
  <c r="G6" i="11"/>
  <c r="G31" i="11" s="1"/>
  <c r="F6" i="11"/>
  <c r="F31" i="11" s="1"/>
  <c r="F4" i="11"/>
  <c r="F29" i="11" s="1"/>
  <c r="P65" i="11"/>
  <c r="K65" i="11"/>
  <c r="C55" i="11"/>
  <c r="C6" i="11" s="1"/>
  <c r="C31" i="11" s="1"/>
  <c r="D55" i="11"/>
  <c r="D6" i="11" s="1"/>
  <c r="AD6" i="11" s="1"/>
  <c r="D54" i="11"/>
  <c r="T64" i="11"/>
  <c r="T63" i="11"/>
  <c r="T62" i="11"/>
  <c r="T61" i="11"/>
  <c r="T60" i="11"/>
  <c r="T59" i="11"/>
  <c r="T58" i="11"/>
  <c r="T57" i="11"/>
  <c r="T56" i="11"/>
  <c r="T55" i="11"/>
  <c r="T54" i="11"/>
  <c r="H44" i="11" l="1"/>
  <c r="AK19" i="11"/>
  <c r="AK44" i="11" s="1"/>
  <c r="AJ19" i="11"/>
  <c r="AJ44" i="11" s="1"/>
  <c r="AJ21" i="11"/>
  <c r="AJ46" i="11" s="1"/>
  <c r="AK21" i="11"/>
  <c r="AK46" i="11" s="1"/>
  <c r="H46" i="11"/>
  <c r="C29" i="11"/>
  <c r="AK20" i="11"/>
  <c r="AK45" i="11" s="1"/>
  <c r="H45" i="11"/>
  <c r="AJ20" i="11"/>
  <c r="AJ45" i="11" s="1"/>
  <c r="AJ10" i="11"/>
  <c r="AJ35" i="11" s="1"/>
  <c r="AK10" i="11"/>
  <c r="AK35" i="11" s="1"/>
  <c r="AJ9" i="11"/>
  <c r="AJ34" i="11" s="1"/>
  <c r="AK9" i="11"/>
  <c r="AK34" i="11" s="1"/>
  <c r="AD9" i="11"/>
  <c r="AH7" i="11"/>
  <c r="AH32" i="11" s="1"/>
  <c r="D32" i="11" s="1"/>
  <c r="AD7" i="11"/>
  <c r="AJ23" i="11"/>
  <c r="AJ48" i="11" s="1"/>
  <c r="AK23" i="11"/>
  <c r="AK48" i="11" s="1"/>
  <c r="H48" i="11"/>
  <c r="E31" i="11"/>
  <c r="AJ22" i="11"/>
  <c r="AJ47" i="11" s="1"/>
  <c r="AK22" i="11"/>
  <c r="AK47" i="11" s="1"/>
  <c r="H47" i="11"/>
  <c r="AK18" i="11"/>
  <c r="AK43" i="11" s="1"/>
  <c r="AI6" i="11"/>
  <c r="AI31" i="11" s="1"/>
  <c r="H49" i="11"/>
  <c r="AH11" i="11"/>
  <c r="AH36" i="11" s="1"/>
  <c r="AD11" i="11"/>
  <c r="C36" i="11"/>
  <c r="H30" i="11"/>
  <c r="AC11" i="11"/>
  <c r="AK24" i="11"/>
  <c r="AK49" i="11" s="1"/>
  <c r="AC8" i="11"/>
  <c r="AJ16" i="11"/>
  <c r="AJ41" i="11" s="1"/>
  <c r="AK11" i="11"/>
  <c r="AK36" i="11" s="1"/>
  <c r="H32" i="11"/>
  <c r="AJ13" i="11"/>
  <c r="AJ38" i="11" s="1"/>
  <c r="AK17" i="11"/>
  <c r="AK42" i="11" s="1"/>
  <c r="H33" i="11"/>
  <c r="AH12" i="11"/>
  <c r="AH37" i="11" s="1"/>
  <c r="D37" i="11" s="1"/>
  <c r="R6" i="9"/>
  <c r="R28" i="9" s="1"/>
  <c r="S6" i="9"/>
  <c r="S28" i="9" s="1"/>
  <c r="C28" i="9"/>
  <c r="R14" i="9"/>
  <c r="R36" i="9" s="1"/>
  <c r="S14" i="9"/>
  <c r="S36" i="9" s="1"/>
  <c r="C36" i="9"/>
  <c r="S18" i="9"/>
  <c r="S40" i="9" s="1"/>
  <c r="R13" i="9"/>
  <c r="R35" i="9" s="1"/>
  <c r="R22" i="9"/>
  <c r="R44" i="9" s="1"/>
  <c r="S22" i="9"/>
  <c r="S44" i="9" s="1"/>
  <c r="C44" i="9"/>
  <c r="S16" i="9"/>
  <c r="S38" i="9" s="1"/>
  <c r="C38" i="9"/>
  <c r="R16" i="9"/>
  <c r="R38" i="9" s="1"/>
  <c r="S8" i="9"/>
  <c r="S30" i="9" s="1"/>
  <c r="C30" i="9"/>
  <c r="R8" i="9"/>
  <c r="R30" i="9" s="1"/>
  <c r="S20" i="9"/>
  <c r="S42" i="9" s="1"/>
  <c r="C42" i="9"/>
  <c r="R20" i="9"/>
  <c r="R42" i="9" s="1"/>
  <c r="S12" i="9"/>
  <c r="S34" i="9" s="1"/>
  <c r="C34" i="9"/>
  <c r="E34" i="9" s="1"/>
  <c r="R12" i="9"/>
  <c r="R34" i="9" s="1"/>
  <c r="S10" i="9"/>
  <c r="S32" i="9" s="1"/>
  <c r="C41" i="9"/>
  <c r="S19" i="9"/>
  <c r="S41" i="9" s="1"/>
  <c r="R19" i="9"/>
  <c r="R41" i="9" s="1"/>
  <c r="S11" i="9"/>
  <c r="S33" i="9" s="1"/>
  <c r="C33" i="9"/>
  <c r="R11" i="9"/>
  <c r="R33" i="9" s="1"/>
  <c r="R7" i="9"/>
  <c r="R29" i="9" s="1"/>
  <c r="S4" i="9"/>
  <c r="S26" i="9" s="1"/>
  <c r="S15" i="9"/>
  <c r="S37" i="9" s="1"/>
  <c r="E37" i="9" s="1"/>
  <c r="S7" i="9"/>
  <c r="S29" i="9" s="1"/>
  <c r="C26" i="9"/>
  <c r="E26" i="9" s="1"/>
  <c r="C43" i="9"/>
  <c r="C35" i="9"/>
  <c r="C27" i="9"/>
  <c r="R18" i="9"/>
  <c r="R40" i="9" s="1"/>
  <c r="R10" i="9"/>
  <c r="R32" i="9" s="1"/>
  <c r="S21" i="9"/>
  <c r="S43" i="9" s="1"/>
  <c r="S13" i="9"/>
  <c r="S35" i="9" s="1"/>
  <c r="S5" i="9"/>
  <c r="S27" i="9" s="1"/>
  <c r="C40" i="9"/>
  <c r="C32" i="9"/>
  <c r="C39" i="9"/>
  <c r="D39" i="9" s="1"/>
  <c r="C31" i="9"/>
  <c r="AD10" i="11"/>
  <c r="AI10" i="11"/>
  <c r="AI35" i="11" s="1"/>
  <c r="AH10" i="11"/>
  <c r="AH35" i="11" s="1"/>
  <c r="D35" i="11" s="1"/>
  <c r="C34" i="11"/>
  <c r="AH9" i="11"/>
  <c r="AH34" i="11" s="1"/>
  <c r="D34" i="11" s="1"/>
  <c r="AC9" i="11"/>
  <c r="AI9" i="11"/>
  <c r="AI34" i="11" s="1"/>
  <c r="C35" i="11"/>
  <c r="AC10" i="11"/>
  <c r="AI11" i="11"/>
  <c r="AI36" i="11" s="1"/>
  <c r="AI8" i="11"/>
  <c r="AI33" i="11" s="1"/>
  <c r="E33" i="11" s="1"/>
  <c r="AH8" i="11"/>
  <c r="AH33" i="11" s="1"/>
  <c r="D33" i="11" s="1"/>
  <c r="AI7" i="11"/>
  <c r="AI32" i="11" s="1"/>
  <c r="E32" i="11" s="1"/>
  <c r="AC7" i="11"/>
  <c r="AK14" i="11"/>
  <c r="AK39" i="11" s="1"/>
  <c r="AJ14" i="11"/>
  <c r="AJ39" i="11" s="1"/>
  <c r="AK13" i="11"/>
  <c r="AK38" i="11" s="1"/>
  <c r="AK12" i="11"/>
  <c r="AK37" i="11" s="1"/>
  <c r="AD12" i="11"/>
  <c r="H38" i="11"/>
  <c r="AJ12" i="11"/>
  <c r="AJ37" i="11" s="1"/>
  <c r="H37" i="11"/>
  <c r="I37" i="11" s="1"/>
  <c r="AC12" i="11"/>
  <c r="E40" i="11"/>
  <c r="C39" i="11"/>
  <c r="AI14" i="11"/>
  <c r="AI39" i="11" s="1"/>
  <c r="AH14" i="11"/>
  <c r="AH39" i="11" s="1"/>
  <c r="D39" i="11" s="1"/>
  <c r="AH15" i="11"/>
  <c r="AH40" i="11" s="1"/>
  <c r="D40" i="11" s="1"/>
  <c r="AH13" i="11"/>
  <c r="AH38" i="11" s="1"/>
  <c r="D38" i="11" s="1"/>
  <c r="AI13" i="11"/>
  <c r="AI38" i="11" s="1"/>
  <c r="E38" i="11" s="1"/>
  <c r="H34" i="11"/>
  <c r="H35" i="11"/>
  <c r="E36" i="11" l="1"/>
  <c r="D36" i="11"/>
  <c r="D26" i="9"/>
  <c r="D34" i="9"/>
  <c r="E34" i="11"/>
  <c r="E35" i="11"/>
  <c r="J37" i="11"/>
  <c r="E39" i="11"/>
  <c r="S102" i="11"/>
  <c r="R102" i="11"/>
  <c r="Q102" i="11"/>
  <c r="P102" i="11"/>
  <c r="S101" i="11"/>
  <c r="R101" i="11"/>
  <c r="Q101" i="11"/>
  <c r="P101" i="11"/>
  <c r="S100" i="11"/>
  <c r="R100" i="11"/>
  <c r="Q100" i="11"/>
  <c r="P100" i="11"/>
  <c r="S99" i="11"/>
  <c r="R99" i="11"/>
  <c r="Q99" i="11"/>
  <c r="P99" i="11"/>
  <c r="S98" i="11"/>
  <c r="R98" i="11"/>
  <c r="Q98" i="11"/>
  <c r="P98" i="11"/>
  <c r="S97" i="11"/>
  <c r="R97" i="11"/>
  <c r="Q97" i="11"/>
  <c r="P97" i="11"/>
  <c r="S96" i="11"/>
  <c r="R96" i="11"/>
  <c r="Q96" i="11"/>
  <c r="P96" i="11"/>
  <c r="S95" i="11"/>
  <c r="R95" i="11"/>
  <c r="Q95" i="11"/>
  <c r="P95" i="11"/>
  <c r="S94" i="11"/>
  <c r="R94" i="11"/>
  <c r="Q94" i="11"/>
  <c r="P94" i="11"/>
  <c r="S93" i="11"/>
  <c r="R93" i="11"/>
  <c r="Q93" i="11"/>
  <c r="P93" i="11"/>
  <c r="S92" i="11"/>
  <c r="R92" i="11"/>
  <c r="Q92" i="11"/>
  <c r="P92" i="11"/>
  <c r="S91" i="11"/>
  <c r="R91" i="11"/>
  <c r="Q91" i="11"/>
  <c r="P91" i="11"/>
  <c r="S90" i="11"/>
  <c r="R90" i="11"/>
  <c r="Q90" i="11"/>
  <c r="P90" i="11"/>
  <c r="S89" i="11"/>
  <c r="R89" i="11"/>
  <c r="Q89" i="11"/>
  <c r="P89" i="11"/>
  <c r="S88" i="11"/>
  <c r="R88" i="11"/>
  <c r="Q88" i="11"/>
  <c r="P88" i="11"/>
  <c r="S87" i="11"/>
  <c r="R87" i="11"/>
  <c r="Q87" i="11"/>
  <c r="P87" i="11"/>
  <c r="S86" i="11"/>
  <c r="R86" i="11"/>
  <c r="Q86" i="11"/>
  <c r="P86" i="11"/>
  <c r="S85" i="11"/>
  <c r="R85" i="11"/>
  <c r="Q85" i="11"/>
  <c r="P85" i="11"/>
  <c r="K85" i="11"/>
  <c r="S64" i="11"/>
  <c r="R64" i="11"/>
  <c r="Q64" i="11"/>
  <c r="P64" i="11"/>
  <c r="K64" i="11"/>
  <c r="S63" i="11"/>
  <c r="R63" i="11"/>
  <c r="Q63" i="11"/>
  <c r="P63" i="11"/>
  <c r="K63" i="11"/>
  <c r="S62" i="11"/>
  <c r="R62" i="11"/>
  <c r="Q62" i="11"/>
  <c r="P62" i="11"/>
  <c r="K62" i="11"/>
  <c r="S61" i="11"/>
  <c r="R61" i="11"/>
  <c r="Q61" i="11"/>
  <c r="P61" i="11"/>
  <c r="K61" i="11"/>
  <c r="S60" i="11"/>
  <c r="R60" i="11"/>
  <c r="Q60" i="11"/>
  <c r="P60" i="11"/>
  <c r="K60" i="11"/>
  <c r="S59" i="11"/>
  <c r="R59" i="11"/>
  <c r="Q59" i="11"/>
  <c r="P59" i="11"/>
  <c r="K59" i="11"/>
  <c r="S58" i="11"/>
  <c r="R58" i="11"/>
  <c r="Q58" i="11"/>
  <c r="P58" i="11"/>
  <c r="K58" i="11"/>
  <c r="S57" i="11"/>
  <c r="R57" i="11"/>
  <c r="Q57" i="11"/>
  <c r="P57" i="11"/>
  <c r="K57" i="11"/>
  <c r="S56" i="11"/>
  <c r="R56" i="11"/>
  <c r="Q56" i="11"/>
  <c r="P56" i="11"/>
  <c r="K56" i="11"/>
  <c r="S55" i="11"/>
  <c r="R55" i="11"/>
  <c r="Q55" i="11"/>
  <c r="P55" i="11"/>
  <c r="K55" i="11"/>
  <c r="S54" i="11"/>
  <c r="R54" i="11"/>
  <c r="Q54" i="11"/>
  <c r="P54" i="11"/>
  <c r="K54" i="11"/>
  <c r="I39" i="11"/>
  <c r="J34" i="11"/>
  <c r="J33" i="11"/>
  <c r="L30" i="11"/>
  <c r="K5" i="11"/>
  <c r="K30" i="11" s="1"/>
  <c r="G4" i="11"/>
  <c r="G29" i="11" s="1"/>
  <c r="D4" i="11"/>
  <c r="AH4" i="11" s="1"/>
  <c r="AH29" i="11" s="1"/>
  <c r="D29" i="11" s="1"/>
  <c r="K92" i="10"/>
  <c r="K91" i="10"/>
  <c r="K90" i="10"/>
  <c r="K89" i="10"/>
  <c r="K88" i="10"/>
  <c r="K87" i="10"/>
  <c r="K86" i="10"/>
  <c r="K85" i="10"/>
  <c r="K84" i="10"/>
  <c r="K83" i="10"/>
  <c r="R82" i="10"/>
  <c r="Q82" i="10"/>
  <c r="P82" i="10"/>
  <c r="K82" i="10"/>
  <c r="S59" i="10"/>
  <c r="R59" i="10"/>
  <c r="Q59" i="10"/>
  <c r="P59" i="10"/>
  <c r="K59" i="10"/>
  <c r="S57" i="10"/>
  <c r="R57" i="10"/>
  <c r="Q57" i="10"/>
  <c r="P57" i="10"/>
  <c r="K57" i="10"/>
  <c r="S56" i="10"/>
  <c r="R56" i="10"/>
  <c r="Q56" i="10"/>
  <c r="P56" i="10"/>
  <c r="K56" i="10"/>
  <c r="S55" i="10"/>
  <c r="R55" i="10"/>
  <c r="Q55" i="10"/>
  <c r="P55" i="10"/>
  <c r="K55" i="10"/>
  <c r="S54" i="10"/>
  <c r="R54" i="10"/>
  <c r="Q54" i="10"/>
  <c r="P54" i="10"/>
  <c r="K54" i="10"/>
  <c r="S53" i="10"/>
  <c r="R53" i="10"/>
  <c r="Q53" i="10"/>
  <c r="P53" i="10"/>
  <c r="K53" i="10"/>
  <c r="S52" i="10"/>
  <c r="R52" i="10"/>
  <c r="Q52" i="10"/>
  <c r="P52" i="10"/>
  <c r="K52" i="10"/>
  <c r="S51" i="10"/>
  <c r="R51" i="10"/>
  <c r="Q51" i="10"/>
  <c r="P51" i="10"/>
  <c r="K51" i="10"/>
  <c r="L15" i="10"/>
  <c r="L13" i="10"/>
  <c r="AK13" i="10"/>
  <c r="L12" i="10"/>
  <c r="L11" i="10"/>
  <c r="L10" i="10"/>
  <c r="L9" i="10"/>
  <c r="L8" i="10"/>
  <c r="L7" i="10"/>
  <c r="L6" i="10"/>
  <c r="AK6" i="10"/>
  <c r="G6" i="10"/>
  <c r="G28" i="10" s="1"/>
  <c r="F6" i="10"/>
  <c r="F28" i="10" s="1"/>
  <c r="L5" i="10"/>
  <c r="K5" i="10"/>
  <c r="K27" i="10" s="1"/>
  <c r="G4" i="10"/>
  <c r="G26" i="10" s="1"/>
  <c r="F4" i="10"/>
  <c r="F26" i="10" s="1"/>
  <c r="D4" i="10"/>
  <c r="S68" i="9"/>
  <c r="R68" i="9"/>
  <c r="Q68" i="9"/>
  <c r="P68" i="9"/>
  <c r="S67" i="9"/>
  <c r="R67" i="9"/>
  <c r="Q67" i="9"/>
  <c r="P67" i="9"/>
  <c r="S66" i="9"/>
  <c r="R66" i="9"/>
  <c r="Q66" i="9"/>
  <c r="P66" i="9"/>
  <c r="S65" i="9"/>
  <c r="R65" i="9"/>
  <c r="Q65" i="9"/>
  <c r="P65" i="9"/>
  <c r="S64" i="9"/>
  <c r="R64" i="9"/>
  <c r="Q64" i="9"/>
  <c r="P64" i="9"/>
  <c r="S63" i="9"/>
  <c r="R63" i="9"/>
  <c r="Q63" i="9"/>
  <c r="P63" i="9"/>
  <c r="S62" i="9"/>
  <c r="R62" i="9"/>
  <c r="Q62" i="9"/>
  <c r="P62" i="9"/>
  <c r="S61" i="9"/>
  <c r="R61" i="9"/>
  <c r="Q61" i="9"/>
  <c r="P61" i="9"/>
  <c r="S60" i="9"/>
  <c r="R60" i="9"/>
  <c r="Q60" i="9"/>
  <c r="P60" i="9"/>
  <c r="S59" i="9"/>
  <c r="R59" i="9"/>
  <c r="Q59" i="9"/>
  <c r="P59" i="9"/>
  <c r="S58" i="9"/>
  <c r="R58" i="9"/>
  <c r="Q58" i="9"/>
  <c r="P58" i="9"/>
  <c r="S57" i="9"/>
  <c r="R57" i="9"/>
  <c r="Q57" i="9"/>
  <c r="P57" i="9"/>
  <c r="S56" i="9"/>
  <c r="R56" i="9"/>
  <c r="Q56" i="9"/>
  <c r="P56" i="9"/>
  <c r="S55" i="9"/>
  <c r="R55" i="9"/>
  <c r="Q55" i="9"/>
  <c r="P55" i="9"/>
  <c r="S54" i="9"/>
  <c r="R54" i="9"/>
  <c r="Q54" i="9"/>
  <c r="P54" i="9"/>
  <c r="S53" i="9"/>
  <c r="R53" i="9"/>
  <c r="Q53" i="9"/>
  <c r="P53" i="9"/>
  <c r="S52" i="9"/>
  <c r="R52" i="9"/>
  <c r="Q52" i="9"/>
  <c r="P52" i="9"/>
  <c r="S51" i="9"/>
  <c r="R51" i="9"/>
  <c r="Q51" i="9"/>
  <c r="P51" i="9"/>
  <c r="K51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D43" i="9"/>
  <c r="D36" i="9"/>
  <c r="E33" i="9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83" i="8"/>
  <c r="H24" i="8"/>
  <c r="C100" i="8"/>
  <c r="AK10" i="10" l="1"/>
  <c r="AK5" i="10"/>
  <c r="AK12" i="10"/>
  <c r="AI11" i="10"/>
  <c r="AH4" i="10"/>
  <c r="D26" i="10" s="1"/>
  <c r="AJ15" i="10"/>
  <c r="AI4" i="10"/>
  <c r="E26" i="10" s="1"/>
  <c r="AK16" i="10"/>
  <c r="AH7" i="10"/>
  <c r="AI7" i="10"/>
  <c r="AI8" i="10"/>
  <c r="AH9" i="10"/>
  <c r="AK15" i="10"/>
  <c r="H27" i="10"/>
  <c r="AI9" i="10"/>
  <c r="AH11" i="10"/>
  <c r="AJ8" i="10"/>
  <c r="AK9" i="10"/>
  <c r="E35" i="10"/>
  <c r="AD6" i="10"/>
  <c r="D35" i="10"/>
  <c r="E39" i="9"/>
  <c r="E43" i="9"/>
  <c r="E35" i="9"/>
  <c r="D40" i="9"/>
  <c r="E38" i="9"/>
  <c r="E31" i="9"/>
  <c r="D27" i="9"/>
  <c r="E29" i="9"/>
  <c r="D28" i="9"/>
  <c r="D32" i="9"/>
  <c r="I48" i="11"/>
  <c r="J38" i="11"/>
  <c r="J48" i="11"/>
  <c r="J47" i="11"/>
  <c r="I47" i="11"/>
  <c r="I44" i="11"/>
  <c r="J44" i="11"/>
  <c r="I31" i="11"/>
  <c r="J31" i="11"/>
  <c r="I43" i="11"/>
  <c r="J43" i="11"/>
  <c r="AI4" i="11"/>
  <c r="AI29" i="11" s="1"/>
  <c r="E29" i="11" s="1"/>
  <c r="J35" i="11"/>
  <c r="J36" i="11"/>
  <c r="I49" i="11"/>
  <c r="I32" i="11"/>
  <c r="J39" i="11"/>
  <c r="AK5" i="11"/>
  <c r="I30" i="11"/>
  <c r="J32" i="11"/>
  <c r="J45" i="11"/>
  <c r="I45" i="11"/>
  <c r="I35" i="11"/>
  <c r="I36" i="11"/>
  <c r="I33" i="11"/>
  <c r="I34" i="11"/>
  <c r="I38" i="11"/>
  <c r="AI10" i="10"/>
  <c r="AH10" i="10"/>
  <c r="AI13" i="10"/>
  <c r="AH13" i="10"/>
  <c r="AI6" i="10"/>
  <c r="AH6" i="10"/>
  <c r="AK8" i="10"/>
  <c r="AJ7" i="10"/>
  <c r="AJ11" i="10"/>
  <c r="AK7" i="10"/>
  <c r="AK11" i="10"/>
  <c r="AJ6" i="10"/>
  <c r="AJ10" i="10"/>
  <c r="AJ13" i="10"/>
  <c r="AJ5" i="10"/>
  <c r="AH8" i="10"/>
  <c r="AJ9" i="10"/>
  <c r="AJ12" i="10"/>
  <c r="AJ16" i="10"/>
  <c r="D38" i="9"/>
  <c r="E27" i="9"/>
  <c r="D31" i="9"/>
  <c r="D35" i="9"/>
  <c r="E41" i="9"/>
  <c r="D41" i="9"/>
  <c r="E44" i="9"/>
  <c r="D42" i="9"/>
  <c r="E40" i="9"/>
  <c r="E28" i="9"/>
  <c r="E42" i="9"/>
  <c r="E36" i="9"/>
  <c r="D30" i="9"/>
  <c r="E32" i="9"/>
  <c r="E30" i="9"/>
  <c r="D44" i="9"/>
  <c r="D29" i="9"/>
  <c r="D33" i="9"/>
  <c r="B33" i="8"/>
  <c r="F29" i="8"/>
  <c r="C29" i="8"/>
  <c r="C31" i="8"/>
  <c r="C33" i="8"/>
  <c r="C38" i="8"/>
  <c r="C27" i="8"/>
  <c r="L37" i="8"/>
  <c r="L31" i="8"/>
  <c r="L32" i="8"/>
  <c r="L33" i="8"/>
  <c r="L34" i="8"/>
  <c r="L28" i="8"/>
  <c r="L17" i="8"/>
  <c r="L40" i="8" s="1"/>
  <c r="L18" i="8"/>
  <c r="L41" i="8" s="1"/>
  <c r="L19" i="8"/>
  <c r="L42" i="8" s="1"/>
  <c r="L20" i="8"/>
  <c r="L43" i="8" s="1"/>
  <c r="L21" i="8"/>
  <c r="L44" i="8" s="1"/>
  <c r="L22" i="8"/>
  <c r="L45" i="8" s="1"/>
  <c r="L23" i="8"/>
  <c r="L46" i="8" s="1"/>
  <c r="L24" i="8"/>
  <c r="L47" i="8" s="1"/>
  <c r="L16" i="8"/>
  <c r="L39" i="8" s="1"/>
  <c r="L14" i="8"/>
  <c r="L13" i="8"/>
  <c r="L36" i="8" s="1"/>
  <c r="L6" i="8"/>
  <c r="L29" i="8" s="1"/>
  <c r="L7" i="8"/>
  <c r="L30" i="8" s="1"/>
  <c r="L8" i="8"/>
  <c r="L9" i="8"/>
  <c r="L10" i="8"/>
  <c r="L11" i="8"/>
  <c r="L5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27" i="8"/>
  <c r="S100" i="8"/>
  <c r="R100" i="8"/>
  <c r="P100" i="8"/>
  <c r="Q100" i="8"/>
  <c r="P84" i="8"/>
  <c r="Q84" i="8"/>
  <c r="R84" i="8"/>
  <c r="S84" i="8"/>
  <c r="P85" i="8"/>
  <c r="Q85" i="8"/>
  <c r="R85" i="8"/>
  <c r="S85" i="8"/>
  <c r="P86" i="8"/>
  <c r="Q86" i="8"/>
  <c r="R86" i="8"/>
  <c r="S86" i="8"/>
  <c r="P87" i="8"/>
  <c r="Q87" i="8"/>
  <c r="R87" i="8"/>
  <c r="S87" i="8"/>
  <c r="P88" i="8"/>
  <c r="Q88" i="8"/>
  <c r="R88" i="8"/>
  <c r="S88" i="8"/>
  <c r="P89" i="8"/>
  <c r="Q89" i="8"/>
  <c r="R89" i="8"/>
  <c r="S89" i="8"/>
  <c r="P90" i="8"/>
  <c r="Q90" i="8"/>
  <c r="R90" i="8"/>
  <c r="S90" i="8"/>
  <c r="P91" i="8"/>
  <c r="Q91" i="8"/>
  <c r="R91" i="8"/>
  <c r="S91" i="8"/>
  <c r="P92" i="8"/>
  <c r="Q92" i="8"/>
  <c r="R92" i="8"/>
  <c r="S92" i="8"/>
  <c r="P93" i="8"/>
  <c r="Q93" i="8"/>
  <c r="R93" i="8"/>
  <c r="S93" i="8"/>
  <c r="P94" i="8"/>
  <c r="Q94" i="8"/>
  <c r="R94" i="8"/>
  <c r="S94" i="8"/>
  <c r="P95" i="8"/>
  <c r="Q95" i="8"/>
  <c r="R95" i="8"/>
  <c r="S95" i="8"/>
  <c r="P96" i="8"/>
  <c r="Q96" i="8"/>
  <c r="R96" i="8"/>
  <c r="S96" i="8"/>
  <c r="P97" i="8"/>
  <c r="Q97" i="8"/>
  <c r="R97" i="8"/>
  <c r="S97" i="8"/>
  <c r="P98" i="8"/>
  <c r="Q98" i="8"/>
  <c r="R98" i="8"/>
  <c r="S98" i="8"/>
  <c r="P99" i="8"/>
  <c r="Q99" i="8"/>
  <c r="R99" i="8"/>
  <c r="S99" i="8"/>
  <c r="R83" i="8"/>
  <c r="Q83" i="8"/>
  <c r="P83" i="8"/>
  <c r="S83" i="8"/>
  <c r="S62" i="8"/>
  <c r="S61" i="8"/>
  <c r="S60" i="8"/>
  <c r="S59" i="8"/>
  <c r="S58" i="8"/>
  <c r="S57" i="8"/>
  <c r="S56" i="8"/>
  <c r="S55" i="8"/>
  <c r="S54" i="8"/>
  <c r="S53" i="8"/>
  <c r="S52" i="8"/>
  <c r="Q53" i="8"/>
  <c r="Q54" i="8"/>
  <c r="Q55" i="8"/>
  <c r="Q56" i="8"/>
  <c r="Q57" i="8"/>
  <c r="Q58" i="8"/>
  <c r="Q59" i="8"/>
  <c r="Q60" i="8"/>
  <c r="Q61" i="8"/>
  <c r="Q62" i="8"/>
  <c r="Q52" i="8"/>
  <c r="R53" i="8"/>
  <c r="R54" i="8"/>
  <c r="R55" i="8"/>
  <c r="R56" i="8"/>
  <c r="R57" i="8"/>
  <c r="R58" i="8"/>
  <c r="R59" i="8"/>
  <c r="R60" i="8"/>
  <c r="R61" i="8"/>
  <c r="R62" i="8"/>
  <c r="R52" i="8"/>
  <c r="P53" i="8"/>
  <c r="P54" i="8"/>
  <c r="P55" i="8"/>
  <c r="P56" i="8"/>
  <c r="P57" i="8"/>
  <c r="P58" i="8"/>
  <c r="P59" i="8"/>
  <c r="P60" i="8"/>
  <c r="P61" i="8"/>
  <c r="P62" i="8"/>
  <c r="P52" i="8"/>
  <c r="I24" i="8"/>
  <c r="B35" i="8"/>
  <c r="I16" i="8"/>
  <c r="I17" i="8"/>
  <c r="AJ17" i="8" s="1"/>
  <c r="AJ40" i="8" s="1"/>
  <c r="I40" i="8" s="1"/>
  <c r="I18" i="8"/>
  <c r="AJ18" i="8" s="1"/>
  <c r="AJ41" i="8" s="1"/>
  <c r="I41" i="8" s="1"/>
  <c r="I19" i="8"/>
  <c r="AJ19" i="8" s="1"/>
  <c r="AJ42" i="8" s="1"/>
  <c r="I42" i="8" s="1"/>
  <c r="I20" i="8"/>
  <c r="I21" i="8"/>
  <c r="I22" i="8"/>
  <c r="I23" i="8"/>
  <c r="H17" i="8"/>
  <c r="H40" i="8" s="1"/>
  <c r="H18" i="8"/>
  <c r="H41" i="8" s="1"/>
  <c r="H19" i="8"/>
  <c r="H42" i="8" s="1"/>
  <c r="H20" i="8"/>
  <c r="H43" i="8" s="1"/>
  <c r="H21" i="8"/>
  <c r="H44" i="8" s="1"/>
  <c r="H22" i="8"/>
  <c r="H45" i="8" s="1"/>
  <c r="H23" i="8"/>
  <c r="H46" i="8" s="1"/>
  <c r="H16" i="8"/>
  <c r="H39" i="8" s="1"/>
  <c r="I13" i="8"/>
  <c r="I14" i="8"/>
  <c r="H14" i="8"/>
  <c r="AJ14" i="8" s="1"/>
  <c r="AJ37" i="8" s="1"/>
  <c r="H13" i="8"/>
  <c r="AC13" i="8" s="1"/>
  <c r="I5" i="8"/>
  <c r="I6" i="8"/>
  <c r="I7" i="8"/>
  <c r="I8" i="8"/>
  <c r="I9" i="8"/>
  <c r="I10" i="8"/>
  <c r="I11" i="8"/>
  <c r="H6" i="8"/>
  <c r="AC6" i="8" s="1"/>
  <c r="H7" i="8"/>
  <c r="H8" i="8"/>
  <c r="H9" i="8"/>
  <c r="H10" i="8"/>
  <c r="H11" i="8"/>
  <c r="AC11" i="8" s="1"/>
  <c r="H5" i="8"/>
  <c r="H28" i="8" s="1"/>
  <c r="K17" i="8"/>
  <c r="K40" i="8" s="1"/>
  <c r="K18" i="8"/>
  <c r="K41" i="8" s="1"/>
  <c r="K19" i="8"/>
  <c r="K42" i="8" s="1"/>
  <c r="K20" i="8"/>
  <c r="K43" i="8" s="1"/>
  <c r="K21" i="8"/>
  <c r="K44" i="8" s="1"/>
  <c r="K22" i="8"/>
  <c r="K45" i="8" s="1"/>
  <c r="K23" i="8"/>
  <c r="K46" i="8" s="1"/>
  <c r="K24" i="8"/>
  <c r="K47" i="8" s="1"/>
  <c r="K14" i="8"/>
  <c r="K37" i="8" s="1"/>
  <c r="K13" i="8"/>
  <c r="K36" i="8" s="1"/>
  <c r="K6" i="8"/>
  <c r="K29" i="8" s="1"/>
  <c r="K7" i="8"/>
  <c r="K30" i="8" s="1"/>
  <c r="K8" i="8"/>
  <c r="K31" i="8" s="1"/>
  <c r="K9" i="8"/>
  <c r="K32" i="8" s="1"/>
  <c r="K10" i="8"/>
  <c r="K33" i="8" s="1"/>
  <c r="K11" i="8"/>
  <c r="K34" i="8" s="1"/>
  <c r="K5" i="8"/>
  <c r="K28" i="8" s="1"/>
  <c r="H47" i="8"/>
  <c r="T98" i="8"/>
  <c r="T97" i="8"/>
  <c r="T96" i="8"/>
  <c r="T95" i="8"/>
  <c r="T94" i="8"/>
  <c r="T93" i="8"/>
  <c r="T92" i="8"/>
  <c r="T91" i="8"/>
  <c r="T90" i="8"/>
  <c r="T89" i="8"/>
  <c r="T88" i="8"/>
  <c r="T87" i="8"/>
  <c r="T86" i="8"/>
  <c r="T85" i="8"/>
  <c r="T84" i="8"/>
  <c r="T100" i="8"/>
  <c r="T99" i="8"/>
  <c r="T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83" i="8"/>
  <c r="B28" i="8"/>
  <c r="B29" i="8"/>
  <c r="B30" i="8"/>
  <c r="B31" i="8"/>
  <c r="B32" i="8"/>
  <c r="B34" i="8"/>
  <c r="B36" i="8"/>
  <c r="B37" i="8"/>
  <c r="B38" i="8"/>
  <c r="B39" i="8"/>
  <c r="B40" i="8"/>
  <c r="B41" i="8"/>
  <c r="B42" i="8"/>
  <c r="B43" i="8"/>
  <c r="B44" i="8"/>
  <c r="B45" i="8"/>
  <c r="B46" i="8"/>
  <c r="B47" i="8"/>
  <c r="B27" i="8"/>
  <c r="G6" i="8"/>
  <c r="G29" i="8" s="1"/>
  <c r="D15" i="8"/>
  <c r="G12" i="8"/>
  <c r="G35" i="8" s="1"/>
  <c r="G13" i="8"/>
  <c r="G36" i="8" s="1"/>
  <c r="F15" i="8"/>
  <c r="F38" i="8" s="1"/>
  <c r="F7" i="8"/>
  <c r="F30" i="8" s="1"/>
  <c r="F8" i="8"/>
  <c r="F31" i="8" s="1"/>
  <c r="F9" i="8"/>
  <c r="F32" i="8" s="1"/>
  <c r="F10" i="8"/>
  <c r="F33" i="8" s="1"/>
  <c r="F11" i="8"/>
  <c r="F34" i="8" s="1"/>
  <c r="F12" i="8"/>
  <c r="F35" i="8" s="1"/>
  <c r="F13" i="8"/>
  <c r="F36" i="8" s="1"/>
  <c r="F14" i="8"/>
  <c r="F37" i="8" s="1"/>
  <c r="D12" i="8"/>
  <c r="D13" i="8"/>
  <c r="C13" i="8"/>
  <c r="C36" i="8" s="1"/>
  <c r="C12" i="8"/>
  <c r="C35" i="8" s="1"/>
  <c r="C14" i="8"/>
  <c r="AH14" i="8" s="1"/>
  <c r="AH37" i="8" s="1"/>
  <c r="D6" i="8"/>
  <c r="D7" i="8"/>
  <c r="D8" i="8"/>
  <c r="D9" i="8"/>
  <c r="D10" i="8"/>
  <c r="D11" i="8"/>
  <c r="C7" i="8"/>
  <c r="C30" i="8" s="1"/>
  <c r="C8" i="8"/>
  <c r="C9" i="8"/>
  <c r="AH9" i="8" s="1"/>
  <c r="AH32" i="8" s="1"/>
  <c r="C6" i="8"/>
  <c r="C4" i="8"/>
  <c r="G15" i="8"/>
  <c r="G38" i="8" s="1"/>
  <c r="G14" i="8"/>
  <c r="G37" i="8" s="1"/>
  <c r="G7" i="8"/>
  <c r="G30" i="8" s="1"/>
  <c r="G8" i="8"/>
  <c r="G31" i="8" s="1"/>
  <c r="G9" i="8"/>
  <c r="G32" i="8" s="1"/>
  <c r="G10" i="8"/>
  <c r="G33" i="8" s="1"/>
  <c r="G11" i="8"/>
  <c r="G34" i="8" s="1"/>
  <c r="G4" i="8"/>
  <c r="G27" i="8" s="1"/>
  <c r="F4" i="8"/>
  <c r="F27" i="8" s="1"/>
  <c r="D4" i="8"/>
  <c r="T62" i="8"/>
  <c r="K62" i="8"/>
  <c r="C62" i="8"/>
  <c r="T61" i="8"/>
  <c r="K61" i="8"/>
  <c r="C61" i="8"/>
  <c r="C15" i="8" s="1"/>
  <c r="T60" i="8"/>
  <c r="K60" i="8"/>
  <c r="T59" i="8"/>
  <c r="K59" i="8"/>
  <c r="T58" i="8"/>
  <c r="K58" i="8"/>
  <c r="C58" i="8"/>
  <c r="C11" i="8" s="1"/>
  <c r="C34" i="8" s="1"/>
  <c r="T57" i="8"/>
  <c r="K57" i="8"/>
  <c r="C57" i="8"/>
  <c r="C10" i="8" s="1"/>
  <c r="T56" i="8"/>
  <c r="K56" i="8"/>
  <c r="T55" i="8"/>
  <c r="K55" i="8"/>
  <c r="T54" i="8"/>
  <c r="K54" i="8"/>
  <c r="T53" i="8"/>
  <c r="K53" i="8"/>
  <c r="T52" i="8"/>
  <c r="K52" i="8"/>
  <c r="K16" i="8"/>
  <c r="K39" i="8" s="1"/>
  <c r="D14" i="8"/>
  <c r="AD14" i="8" s="1"/>
  <c r="F6" i="8"/>
  <c r="AK30" i="11" l="1"/>
  <c r="J30" i="11" s="1"/>
  <c r="AD6" i="8"/>
  <c r="C32" i="8"/>
  <c r="D32" i="8" s="1"/>
  <c r="C37" i="8"/>
  <c r="D37" i="8" s="1"/>
  <c r="AI14" i="8"/>
  <c r="AI37" i="8" s="1"/>
  <c r="E37" i="8" s="1"/>
  <c r="AD13" i="8"/>
  <c r="AD9" i="8"/>
  <c r="AH11" i="8"/>
  <c r="AH34" i="8" s="1"/>
  <c r="D34" i="8" s="1"/>
  <c r="AD11" i="8"/>
  <c r="AD10" i="8"/>
  <c r="AH4" i="8"/>
  <c r="AH27" i="8" s="1"/>
  <c r="D27" i="8" s="1"/>
  <c r="AH8" i="8"/>
  <c r="AH31" i="8" s="1"/>
  <c r="AD8" i="8"/>
  <c r="AJ8" i="8"/>
  <c r="AJ31" i="8" s="1"/>
  <c r="AD7" i="8"/>
  <c r="AJ22" i="8"/>
  <c r="AJ45" i="8" s="1"/>
  <c r="I45" i="8" s="1"/>
  <c r="J27" i="10"/>
  <c r="I27" i="10"/>
  <c r="J46" i="11"/>
  <c r="J41" i="11"/>
  <c r="J49" i="11"/>
  <c r="J42" i="11"/>
  <c r="I46" i="11"/>
  <c r="I42" i="11"/>
  <c r="I41" i="11"/>
  <c r="E28" i="10"/>
  <c r="AK18" i="8"/>
  <c r="AK41" i="8" s="1"/>
  <c r="J41" i="8" s="1"/>
  <c r="AK10" i="8"/>
  <c r="AK33" i="8" s="1"/>
  <c r="AJ9" i="8"/>
  <c r="AJ32" i="8" s="1"/>
  <c r="AK16" i="8"/>
  <c r="AK39" i="8" s="1"/>
  <c r="AJ11" i="8"/>
  <c r="AJ34" i="8" s="1"/>
  <c r="I34" i="8" s="1"/>
  <c r="J39" i="8"/>
  <c r="H29" i="8"/>
  <c r="H34" i="8"/>
  <c r="H37" i="8"/>
  <c r="I37" i="8" s="1"/>
  <c r="AC14" i="8"/>
  <c r="H33" i="8"/>
  <c r="J33" i="8" s="1"/>
  <c r="AC10" i="8"/>
  <c r="H31" i="8"/>
  <c r="AC8" i="8"/>
  <c r="AJ23" i="8"/>
  <c r="AJ46" i="8" s="1"/>
  <c r="I46" i="8" s="1"/>
  <c r="H36" i="8"/>
  <c r="H32" i="8"/>
  <c r="AC9" i="8"/>
  <c r="H30" i="8"/>
  <c r="AC7" i="8"/>
  <c r="AK20" i="8"/>
  <c r="AK43" i="8" s="1"/>
  <c r="J43" i="8" s="1"/>
  <c r="AK22" i="8"/>
  <c r="AK45" i="8" s="1"/>
  <c r="J45" i="8" s="1"/>
  <c r="AJ5" i="8"/>
  <c r="AJ28" i="8" s="1"/>
  <c r="I28" i="8" s="1"/>
  <c r="D31" i="8"/>
  <c r="E35" i="8"/>
  <c r="J47" i="8"/>
  <c r="AJ21" i="8"/>
  <c r="AJ44" i="8" s="1"/>
  <c r="I44" i="8" s="1"/>
  <c r="AJ7" i="8"/>
  <c r="AJ30" i="8" s="1"/>
  <c r="AI8" i="8"/>
  <c r="AI31" i="8" s="1"/>
  <c r="E31" i="8" s="1"/>
  <c r="AK24" i="8"/>
  <c r="AK47" i="8" s="1"/>
  <c r="AK6" i="8"/>
  <c r="AK29" i="8" s="1"/>
  <c r="J29" i="8" s="1"/>
  <c r="AH10" i="8"/>
  <c r="AH33" i="8" s="1"/>
  <c r="D33" i="8" s="1"/>
  <c r="AI13" i="8"/>
  <c r="AI36" i="8" s="1"/>
  <c r="E36" i="8" s="1"/>
  <c r="AJ24" i="8"/>
  <c r="AJ47" i="8" s="1"/>
  <c r="I47" i="8" s="1"/>
  <c r="AJ20" i="8"/>
  <c r="AJ43" i="8" s="1"/>
  <c r="I43" i="8" s="1"/>
  <c r="AJ16" i="8"/>
  <c r="AJ39" i="8" s="1"/>
  <c r="I39" i="8" s="1"/>
  <c r="AJ10" i="8"/>
  <c r="AJ33" i="8" s="1"/>
  <c r="AJ6" i="8"/>
  <c r="AJ29" i="8" s="1"/>
  <c r="AH13" i="8"/>
  <c r="AH36" i="8" s="1"/>
  <c r="D36" i="8" s="1"/>
  <c r="AI7" i="8"/>
  <c r="AI30" i="8" s="1"/>
  <c r="E30" i="8" s="1"/>
  <c r="AK23" i="8"/>
  <c r="AK46" i="8" s="1"/>
  <c r="J46" i="8" s="1"/>
  <c r="AK19" i="8"/>
  <c r="AK42" i="8" s="1"/>
  <c r="J42" i="8" s="1"/>
  <c r="AK14" i="8"/>
  <c r="AK37" i="8" s="1"/>
  <c r="J37" i="8" s="1"/>
  <c r="AK9" i="8"/>
  <c r="AK32" i="8" s="1"/>
  <c r="AI12" i="8"/>
  <c r="AI35" i="8" s="1"/>
  <c r="AH7" i="8"/>
  <c r="AH30" i="8" s="1"/>
  <c r="D30" i="8" s="1"/>
  <c r="AI4" i="8"/>
  <c r="AI27" i="8" s="1"/>
  <c r="E27" i="8" s="1"/>
  <c r="AH12" i="8"/>
  <c r="AH35" i="8" s="1"/>
  <c r="D35" i="8" s="1"/>
  <c r="AI6" i="8"/>
  <c r="AI29" i="8" s="1"/>
  <c r="E29" i="8" s="1"/>
  <c r="AK13" i="8"/>
  <c r="AK36" i="8" s="1"/>
  <c r="J36" i="8" s="1"/>
  <c r="AK8" i="8"/>
  <c r="AK31" i="8" s="1"/>
  <c r="AI11" i="8"/>
  <c r="AI34" i="8" s="1"/>
  <c r="E34" i="8" s="1"/>
  <c r="AH6" i="8"/>
  <c r="AH29" i="8" s="1"/>
  <c r="D29" i="8" s="1"/>
  <c r="AJ13" i="8"/>
  <c r="AJ36" i="8" s="1"/>
  <c r="I36" i="8" s="1"/>
  <c r="AH15" i="8"/>
  <c r="AH38" i="8" s="1"/>
  <c r="D38" i="8" s="1"/>
  <c r="AK5" i="8"/>
  <c r="AK28" i="8" s="1"/>
  <c r="J28" i="8" s="1"/>
  <c r="AI9" i="8"/>
  <c r="AI32" i="8" s="1"/>
  <c r="E32" i="8" s="1"/>
  <c r="AK21" i="8"/>
  <c r="AK44" i="8" s="1"/>
  <c r="J44" i="8" s="1"/>
  <c r="AK17" i="8"/>
  <c r="AK40" i="8" s="1"/>
  <c r="J40" i="8" s="1"/>
  <c r="AK11" i="8"/>
  <c r="AK34" i="8" s="1"/>
  <c r="J34" i="8" s="1"/>
  <c r="AK7" i="8"/>
  <c r="AK30" i="8" s="1"/>
  <c r="AI15" i="8"/>
  <c r="AI38" i="8" s="1"/>
  <c r="E38" i="8" s="1"/>
  <c r="AI10" i="8"/>
  <c r="AI33" i="8" s="1"/>
  <c r="E33" i="8" s="1"/>
  <c r="I31" i="8" l="1"/>
  <c r="I33" i="8"/>
  <c r="J30" i="8"/>
  <c r="J32" i="8"/>
  <c r="I29" i="8"/>
  <c r="J31" i="8"/>
  <c r="I30" i="8"/>
  <c r="I32" i="8"/>
</calcChain>
</file>

<file path=xl/sharedStrings.xml><?xml version="1.0" encoding="utf-8"?>
<sst xmlns="http://schemas.openxmlformats.org/spreadsheetml/2006/main" count="563" uniqueCount="110">
  <si>
    <t>bg284b</t>
  </si>
  <si>
    <t>bg284f</t>
  </si>
  <si>
    <t>bg284g</t>
  </si>
  <si>
    <t>1. MANGA 1-26878</t>
  </si>
  <si>
    <t>3. MANGA 1-19818</t>
  </si>
  <si>
    <t>Uvmin</t>
  </si>
  <si>
    <t>Error</t>
  </si>
  <si>
    <t>Uvmin (log)</t>
  </si>
  <si>
    <t>Deconvolution in Arcsec</t>
  </si>
  <si>
    <t>tvstat</t>
  </si>
  <si>
    <t>Resolved?</t>
  </si>
  <si>
    <t>Peak intens</t>
  </si>
  <si>
    <t>Int Intens</t>
  </si>
  <si>
    <t>x-pos</t>
  </si>
  <si>
    <t>error</t>
  </si>
  <si>
    <t>y-pos</t>
  </si>
  <si>
    <t>Major nominal</t>
  </si>
  <si>
    <t>Major min</t>
  </si>
  <si>
    <t>Major max</t>
  </si>
  <si>
    <t>Minor Nominal</t>
  </si>
  <si>
    <t>Minor min</t>
  </si>
  <si>
    <t>Minor max</t>
  </si>
  <si>
    <t>Pos angle nominal</t>
  </si>
  <si>
    <t>Pos angle min</t>
  </si>
  <si>
    <t>Pos angle max</t>
  </si>
  <si>
    <t>Mean</t>
  </si>
  <si>
    <t>rms</t>
  </si>
  <si>
    <t>max</t>
  </si>
  <si>
    <t>min</t>
  </si>
  <si>
    <t>Resolved</t>
  </si>
  <si>
    <t>Unresolved</t>
  </si>
  <si>
    <t>Beam</t>
  </si>
  <si>
    <t>Peak int parantheses</t>
  </si>
  <si>
    <t>rms*3</t>
  </si>
  <si>
    <t>RMS</t>
  </si>
  <si>
    <t>Flux</t>
  </si>
  <si>
    <t>  156.075333</t>
  </si>
  <si>
    <t>  165.124557</t>
  </si>
  <si>
    <t>L-band</t>
  </si>
  <si>
    <t>C-Band</t>
  </si>
  <si>
    <t>Non-detection</t>
  </si>
  <si>
    <t>Error high</t>
  </si>
  <si>
    <t>Error Low</t>
  </si>
  <si>
    <t>Negative Error</t>
  </si>
  <si>
    <t>Positive Error</t>
  </si>
  <si>
    <t xml:space="preserve">0.002370    </t>
  </si>
  <si>
    <t>0.002030 </t>
  </si>
  <si>
    <t xml:space="preserve">0.002194    </t>
  </si>
  <si>
    <t xml:space="preserve">0.002316    </t>
  </si>
  <si>
    <t xml:space="preserve">0.002396    </t>
  </si>
  <si>
    <t xml:space="preserve">0.002294    </t>
  </si>
  <si>
    <t xml:space="preserve">0.002196    </t>
  </si>
  <si>
    <t xml:space="preserve">0.001055    </t>
  </si>
  <si>
    <t xml:space="preserve">0.000870    </t>
  </si>
  <si>
    <t xml:space="preserve">0.000864    </t>
  </si>
  <si>
    <t xml:space="preserve">0.001121    </t>
  </si>
  <si>
    <t xml:space="preserve">0.001105    </t>
  </si>
  <si>
    <t xml:space="preserve">0.001065    </t>
  </si>
  <si>
    <t xml:space="preserve">0.000140    </t>
  </si>
  <si>
    <t xml:space="preserve">0.000596    </t>
  </si>
  <si>
    <t xml:space="preserve">0.000435    </t>
  </si>
  <si>
    <t xml:space="preserve">0.000182    </t>
  </si>
  <si>
    <t>x-pos (from center, miliarcsec)</t>
  </si>
  <si>
    <t>error (miliarcsec)</t>
  </si>
  <si>
    <t>y-pos (from center, miliarcsec)</t>
  </si>
  <si>
    <t>Spectral indexes</t>
  </si>
  <si>
    <t>SI</t>
  </si>
  <si>
    <t>bg284</t>
  </si>
  <si>
    <t xml:space="preserve">  </t>
  </si>
  <si>
    <t xml:space="preserve">0.001884    </t>
  </si>
  <si>
    <t xml:space="preserve">0.000990    </t>
  </si>
  <si>
    <t xml:space="preserve">0.000243    </t>
  </si>
  <si>
    <t xml:space="preserve">0.002115    </t>
  </si>
  <si>
    <t xml:space="preserve">0.002248    </t>
  </si>
  <si>
    <t xml:space="preserve">0.001903    </t>
  </si>
  <si>
    <t xml:space="preserve">0.002202    </t>
  </si>
  <si>
    <t xml:space="preserve">0.002257    </t>
  </si>
  <si>
    <t xml:space="preserve">0.002337    </t>
  </si>
  <si>
    <t xml:space="preserve">0.002299    </t>
  </si>
  <si>
    <t xml:space="preserve">0.002290    </t>
  </si>
  <si>
    <t xml:space="preserve">0.002340    </t>
  </si>
  <si>
    <t>? (Unresolved)</t>
  </si>
  <si>
    <t>4. MaNGA 1-43718</t>
  </si>
  <si>
    <t>2. MANGA 1-27393</t>
  </si>
  <si>
    <t xml:space="preserve">   33.235260</t>
  </si>
  <si>
    <t xml:space="preserve">   46.298664</t>
  </si>
  <si>
    <t>    0.003284</t>
  </si>
  <si>
    <t>    0.006874</t>
  </si>
  <si>
    <t>    0.007918</t>
  </si>
  <si>
    <t xml:space="preserve"> </t>
  </si>
  <si>
    <t>Info for L band:</t>
  </si>
  <si>
    <t>3*rms</t>
  </si>
  <si>
    <t>Major</t>
  </si>
  <si>
    <t>x1</t>
  </si>
  <si>
    <t>x2</t>
  </si>
  <si>
    <t>y1</t>
  </si>
  <si>
    <t>y2</t>
  </si>
  <si>
    <t>1L</t>
  </si>
  <si>
    <t>1C</t>
  </si>
  <si>
    <t>2C</t>
  </si>
  <si>
    <t>3L</t>
  </si>
  <si>
    <t>3C</t>
  </si>
  <si>
    <t>4L</t>
  </si>
  <si>
    <t>4C</t>
  </si>
  <si>
    <t>Distance</t>
  </si>
  <si>
    <t>Angle (rad)</t>
  </si>
  <si>
    <t>Angle (deg)</t>
  </si>
  <si>
    <t>BLOB2</t>
  </si>
  <si>
    <t>Box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</si>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</sst>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0" tint="-0.34998626667073579"/>
      <name val="Times New Roman"/>
      <family val="1"/>
    </font>
    <font>
      <b/>
      <sz val="10"/>
      <color rgb="FF000000"/>
      <name val="Times New Roman"/>
      <family val="1"/>
    </font>
    <font>
      <sz val="10"/>
      <color theme="1" tint="0.499984740745262"/>
      <name val="Times New Roman"/>
      <family val="1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9696A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5BAC7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/>
    <xf numFmtId="11" fontId="0" fillId="0" borderId="0" xfId="0" applyNumberFormat="1"/>
    <xf numFmtId="0" fontId="5" fillId="0" borderId="0" xfId="0" applyFont="1"/>
    <xf numFmtId="11" fontId="5" fillId="0" borderId="0" xfId="0" applyNumberFormat="1" applyFont="1"/>
    <xf numFmtId="164" fontId="2" fillId="0" borderId="0" xfId="0" applyNumberFormat="1" applyFont="1"/>
    <xf numFmtId="164" fontId="5" fillId="0" borderId="0" xfId="0" applyNumberFormat="1" applyFont="1"/>
    <xf numFmtId="11" fontId="4" fillId="0" borderId="0" xfId="0" applyNumberFormat="1" applyFont="1"/>
    <xf numFmtId="0" fontId="4" fillId="0" borderId="0" xfId="0" quotePrefix="1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7" fillId="5" borderId="0" xfId="0" applyFont="1" applyFill="1"/>
    <xf numFmtId="0" fontId="7" fillId="3" borderId="0" xfId="0" applyFont="1" applyFill="1"/>
    <xf numFmtId="11" fontId="6" fillId="0" borderId="0" xfId="0" applyNumberFormat="1" applyFont="1"/>
    <xf numFmtId="0" fontId="9" fillId="0" borderId="0" xfId="0" applyFont="1"/>
    <xf numFmtId="2" fontId="6" fillId="0" borderId="0" xfId="0" applyNumberFormat="1" applyFont="1"/>
    <xf numFmtId="0" fontId="6" fillId="0" borderId="0" xfId="0" applyFont="1" applyAlignment="1">
      <alignment horizontal="left" indent="1"/>
    </xf>
    <xf numFmtId="0" fontId="6" fillId="6" borderId="0" xfId="0" applyFont="1" applyFill="1"/>
    <xf numFmtId="0" fontId="6" fillId="7" borderId="0" xfId="0" applyFont="1" applyFill="1"/>
    <xf numFmtId="11" fontId="6" fillId="7" borderId="0" xfId="0" applyNumberFormat="1" applyFont="1" applyFill="1"/>
    <xf numFmtId="11" fontId="2" fillId="7" borderId="0" xfId="0" applyNumberFormat="1" applyFont="1" applyFill="1"/>
    <xf numFmtId="0" fontId="6" fillId="4" borderId="0" xfId="0" applyFont="1" applyFill="1"/>
    <xf numFmtId="0" fontId="8" fillId="0" borderId="0" xfId="0" applyFont="1"/>
    <xf numFmtId="0" fontId="7" fillId="4" borderId="0" xfId="0" applyFont="1" applyFill="1"/>
    <xf numFmtId="0" fontId="10" fillId="0" borderId="0" xfId="0" applyFont="1"/>
    <xf numFmtId="11" fontId="11" fillId="0" borderId="0" xfId="0" applyNumberFormat="1" applyFont="1"/>
    <xf numFmtId="0" fontId="12" fillId="0" borderId="0" xfId="0" applyFont="1"/>
    <xf numFmtId="0" fontId="11" fillId="0" borderId="0" xfId="0" applyFont="1"/>
    <xf numFmtId="0" fontId="2" fillId="0" borderId="0" xfId="0" applyFont="1" applyAlignment="1">
      <alignment vertical="center"/>
    </xf>
    <xf numFmtId="0" fontId="4" fillId="8" borderId="0" xfId="0" applyFont="1" applyFill="1"/>
    <xf numFmtId="11" fontId="7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BAC73"/>
      <color rgb="FF63BE7B"/>
      <color rgb="FFBCD881"/>
      <color rgb="FFFA9F76"/>
      <color rgb="FFFA8E72"/>
      <color rgb="FFFCB078"/>
      <color rgb="FFF86D6B"/>
      <color rgb="FFFDC17B"/>
      <color rgb="FFF7E984"/>
      <color rgb="FFFEE2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0" i="0" u="none" strike="noStrike" kern="1200" baseline="0">
                <a:solidFill>
                  <a:srgbClr val="000000"/>
                </a:solidFill>
              </a:rPr>
              <a:t>1. MaNGA 1-26878 (bg284b)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C-Band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1"/>
              </a:solidFill>
            </c:spPr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0-35A6-2C46-B879-9179FD8C9C8E}"/>
              </c:ext>
            </c:extLst>
          </c:dPt>
          <c:dPt>
            <c:idx val="11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5A6-2C46-B879-9179FD8C9C8E}"/>
              </c:ext>
            </c:extLst>
          </c:dPt>
          <c:dPt>
            <c:idx val="20"/>
            <c:marker>
              <c:symbol val="square"/>
              <c:size val="5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5A6-2C46-B879-9179FD8C9C8E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'1st bg284b'!$I$4:$I$15</c:f>
                <c:numCache>
                  <c:formatCode>General</c:formatCode>
                  <c:ptCount val="12"/>
                  <c:pt idx="1">
                    <c:v>7.619999999999999E-2</c:v>
                  </c:pt>
                  <c:pt idx="2">
                    <c:v>7.7799999999999994E-2</c:v>
                  </c:pt>
                  <c:pt idx="3">
                    <c:v>8.0599999999999991E-2</c:v>
                  </c:pt>
                  <c:pt idx="4">
                    <c:v>7.4499999999999997E-2</c:v>
                  </c:pt>
                  <c:pt idx="5">
                    <c:v>5.8000000000000003E-2</c:v>
                  </c:pt>
                  <c:pt idx="6">
                    <c:v>4.5399999999999996E-2</c:v>
                  </c:pt>
                  <c:pt idx="7">
                    <c:v>4.82E-2</c:v>
                  </c:pt>
                  <c:pt idx="8">
                    <c:v>4.7699999999999999E-2</c:v>
                  </c:pt>
                  <c:pt idx="9">
                    <c:v>5.1700000000000003E-2</c:v>
                  </c:pt>
                  <c:pt idx="11">
                    <c:v>0</c:v>
                  </c:pt>
                </c:numCache>
              </c:numRef>
            </c:plus>
            <c:minus>
              <c:numRef>
                <c:f>'1st bg284b'!$I$4:$I$15</c:f>
                <c:numCache>
                  <c:formatCode>General</c:formatCode>
                  <c:ptCount val="12"/>
                  <c:pt idx="1">
                    <c:v>7.619999999999999E-2</c:v>
                  </c:pt>
                  <c:pt idx="2">
                    <c:v>7.7799999999999994E-2</c:v>
                  </c:pt>
                  <c:pt idx="3">
                    <c:v>8.0599999999999991E-2</c:v>
                  </c:pt>
                  <c:pt idx="4">
                    <c:v>7.4499999999999997E-2</c:v>
                  </c:pt>
                  <c:pt idx="5">
                    <c:v>5.8000000000000003E-2</c:v>
                  </c:pt>
                  <c:pt idx="6">
                    <c:v>4.5399999999999996E-2</c:v>
                  </c:pt>
                  <c:pt idx="7">
                    <c:v>4.82E-2</c:v>
                  </c:pt>
                  <c:pt idx="8">
                    <c:v>4.7699999999999999E-2</c:v>
                  </c:pt>
                  <c:pt idx="9">
                    <c:v>5.1700000000000003E-2</c:v>
                  </c:pt>
                  <c:pt idx="11">
                    <c:v>0</c:v>
                  </c:pt>
                </c:numCache>
              </c:numRef>
            </c:minus>
          </c:errBars>
          <c:xVal>
            <c:numRef>
              <c:f>'1st bg284b'!$B$4:$B$15</c:f>
              <c:numCache>
                <c:formatCode>General</c:formatCode>
                <c:ptCount val="12"/>
                <c:pt idx="0">
                  <c:v>1090</c:v>
                </c:pt>
                <c:pt idx="1">
                  <c:v>3445</c:v>
                </c:pt>
                <c:pt idx="2">
                  <c:v>5000</c:v>
                </c:pt>
                <c:pt idx="3">
                  <c:v>10000</c:v>
                </c:pt>
                <c:pt idx="4">
                  <c:v>15000</c:v>
                </c:pt>
                <c:pt idx="5">
                  <c:v>20000</c:v>
                </c:pt>
                <c:pt idx="6">
                  <c:v>25000</c:v>
                </c:pt>
                <c:pt idx="7">
                  <c:v>30000</c:v>
                </c:pt>
                <c:pt idx="8">
                  <c:v>35000</c:v>
                </c:pt>
                <c:pt idx="9">
                  <c:v>40000</c:v>
                </c:pt>
                <c:pt idx="10">
                  <c:v>43000</c:v>
                </c:pt>
                <c:pt idx="11">
                  <c:v>45000</c:v>
                </c:pt>
              </c:numCache>
            </c:numRef>
          </c:xVal>
          <c:yVal>
            <c:numRef>
              <c:f>'1st bg284b'!$H$4:$H$15</c:f>
              <c:numCache>
                <c:formatCode>General</c:formatCode>
                <c:ptCount val="12"/>
                <c:pt idx="1">
                  <c:v>1.4082000000000001</c:v>
                </c:pt>
                <c:pt idx="2">
                  <c:v>1.3769</c:v>
                </c:pt>
                <c:pt idx="3">
                  <c:v>1.3381999999999998</c:v>
                </c:pt>
                <c:pt idx="4">
                  <c:v>1.1705999999999999</c:v>
                </c:pt>
                <c:pt idx="5">
                  <c:v>0.71878999999999993</c:v>
                </c:pt>
                <c:pt idx="6">
                  <c:v>0.45815</c:v>
                </c:pt>
                <c:pt idx="7">
                  <c:v>0.37574000000000002</c:v>
                </c:pt>
                <c:pt idx="8">
                  <c:v>0.31483</c:v>
                </c:pt>
                <c:pt idx="9">
                  <c:v>0.17496999999999999</c:v>
                </c:pt>
                <c:pt idx="11">
                  <c:v>7.0949999999999985E-2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A6-2C46-B879-9179FD8C9C8E}"/>
            </c:ext>
          </c:extLst>
        </c:ser>
        <c:ser>
          <c:idx val="0"/>
          <c:order val="1"/>
          <c:tx>
            <c:v>L-Band</c:v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circle"/>
            <c:size val="7"/>
            <c:spPr>
              <a:ln>
                <a:noFill/>
              </a:ln>
            </c:spPr>
          </c:marker>
          <c:dPt>
            <c:idx val="0"/>
            <c:marker>
              <c:symbol val="square"/>
              <c:size val="7"/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spPr>
              <a:ln cap="flat">
                <a:solidFill>
                  <a:schemeClr val="accent4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5A6-2C46-B879-9179FD8C9C8E}"/>
              </c:ext>
            </c:extLst>
          </c:dPt>
          <c:dPt>
            <c:idx val="1"/>
            <c:marker>
              <c:symbol val="square"/>
              <c:size val="7"/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5A6-2C46-B879-9179FD8C9C8E}"/>
              </c:ext>
            </c:extLst>
          </c:dPt>
          <c:dPt>
            <c:idx val="2"/>
            <c:marker>
              <c:symbol val="square"/>
              <c:size val="7"/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5A6-2C46-B879-9179FD8C9C8E}"/>
              </c:ext>
            </c:extLst>
          </c:dPt>
          <c:dPt>
            <c:idx val="3"/>
            <c:marker>
              <c:symbol val="square"/>
              <c:size val="7"/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35A6-2C46-B879-9179FD8C9C8E}"/>
              </c:ext>
            </c:extLst>
          </c:dPt>
          <c:dPt>
            <c:idx val="4"/>
            <c:marker>
              <c:symbol val="square"/>
              <c:size val="7"/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5A6-2C46-B879-9179FD8C9C8E}"/>
              </c:ext>
            </c:extLst>
          </c:dPt>
          <c:dPt>
            <c:idx val="5"/>
            <c:marker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35A6-2C46-B879-9179FD8C9C8E}"/>
              </c:ext>
            </c:extLst>
          </c:dPt>
          <c:dPt>
            <c:idx val="6"/>
            <c:marker>
              <c:symbol val="square"/>
              <c:size val="7"/>
              <c:spPr>
                <a:solidFill>
                  <a:schemeClr val="accent5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5A6-2C46-B879-9179FD8C9C8E}"/>
              </c:ext>
            </c:extLst>
          </c:dPt>
          <c:dPt>
            <c:idx val="7"/>
            <c:marker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35A6-2C46-B879-9179FD8C9C8E}"/>
              </c:ext>
            </c:extLst>
          </c:dPt>
          <c:dPt>
            <c:idx val="8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35A6-2C46-B879-9179FD8C9C8E}"/>
              </c:ext>
            </c:extLst>
          </c:dPt>
          <c:dPt>
            <c:idx val="9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35A6-2C46-B879-9179FD8C9C8E}"/>
              </c:ext>
            </c:extLst>
          </c:dPt>
          <c:dPt>
            <c:idx val="1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35A6-2C46-B879-9179FD8C9C8E}"/>
              </c:ext>
            </c:extLst>
          </c:dPt>
          <c:dPt>
            <c:idx val="11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35A6-2C46-B879-9179FD8C9C8E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'1st bg284b'!$D$4:$D$13</c:f>
                <c:numCache>
                  <c:formatCode>General</c:formatCode>
                  <c:ptCount val="10"/>
                  <c:pt idx="0">
                    <c:v>7.5400000000000009E-2</c:v>
                  </c:pt>
                  <c:pt idx="2">
                    <c:v>8.3499999999999991E-2</c:v>
                  </c:pt>
                  <c:pt idx="3">
                    <c:v>8.8399999999999992E-2</c:v>
                  </c:pt>
                  <c:pt idx="4">
                    <c:v>0.11600000000000001</c:v>
                  </c:pt>
                  <c:pt idx="5">
                    <c:v>7.46E-2</c:v>
                  </c:pt>
                  <c:pt idx="6">
                    <c:v>0.26600000000000001</c:v>
                  </c:pt>
                  <c:pt idx="7">
                    <c:v>0.128</c:v>
                  </c:pt>
                  <c:pt idx="9">
                    <c:v>0</c:v>
                  </c:pt>
                </c:numCache>
              </c:numRef>
            </c:plus>
            <c:minus>
              <c:numRef>
                <c:f>'1st bg284b'!$D$4:$D$13</c:f>
                <c:numCache>
                  <c:formatCode>General</c:formatCode>
                  <c:ptCount val="10"/>
                  <c:pt idx="0">
                    <c:v>7.5400000000000009E-2</c:v>
                  </c:pt>
                  <c:pt idx="2">
                    <c:v>8.3499999999999991E-2</c:v>
                  </c:pt>
                  <c:pt idx="3">
                    <c:v>8.8399999999999992E-2</c:v>
                  </c:pt>
                  <c:pt idx="4">
                    <c:v>0.11600000000000001</c:v>
                  </c:pt>
                  <c:pt idx="5">
                    <c:v>7.46E-2</c:v>
                  </c:pt>
                  <c:pt idx="6">
                    <c:v>0.26600000000000001</c:v>
                  </c:pt>
                  <c:pt idx="7">
                    <c:v>0.128</c:v>
                  </c:pt>
                  <c:pt idx="9">
                    <c:v>0</c:v>
                  </c:pt>
                </c:numCache>
              </c:numRef>
            </c:minus>
          </c:errBars>
          <c:xVal>
            <c:numRef>
              <c:f>'1st bg284b'!$B$4:$B$13</c:f>
              <c:numCache>
                <c:formatCode>General</c:formatCode>
                <c:ptCount val="10"/>
                <c:pt idx="0">
                  <c:v>1090</c:v>
                </c:pt>
                <c:pt idx="1">
                  <c:v>3445</c:v>
                </c:pt>
                <c:pt idx="2">
                  <c:v>5000</c:v>
                </c:pt>
                <c:pt idx="3">
                  <c:v>10000</c:v>
                </c:pt>
                <c:pt idx="4">
                  <c:v>15000</c:v>
                </c:pt>
                <c:pt idx="5">
                  <c:v>20000</c:v>
                </c:pt>
                <c:pt idx="6">
                  <c:v>25000</c:v>
                </c:pt>
                <c:pt idx="7">
                  <c:v>30000</c:v>
                </c:pt>
                <c:pt idx="8">
                  <c:v>35000</c:v>
                </c:pt>
                <c:pt idx="9">
                  <c:v>40000</c:v>
                </c:pt>
              </c:numCache>
            </c:numRef>
          </c:xVal>
          <c:yVal>
            <c:numRef>
              <c:f>'1st bg284b'!$C$4:$C$13</c:f>
              <c:numCache>
                <c:formatCode>General</c:formatCode>
                <c:ptCount val="10"/>
                <c:pt idx="0">
                  <c:v>3.4556999999999998</c:v>
                </c:pt>
                <c:pt idx="2">
                  <c:v>2.6034000000000002</c:v>
                </c:pt>
                <c:pt idx="3">
                  <c:v>1.7206000000000001</c:v>
                </c:pt>
                <c:pt idx="4">
                  <c:v>1.1425999999999998</c:v>
                </c:pt>
                <c:pt idx="5">
                  <c:v>0.49842999999999998</c:v>
                </c:pt>
                <c:pt idx="6">
                  <c:v>0.73379000000000005</c:v>
                </c:pt>
                <c:pt idx="7">
                  <c:v>0.40774000000000005</c:v>
                </c:pt>
                <c:pt idx="9">
                  <c:v>0.57600000000000007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5A6-2C46-B879-9179FD8C9C8E}"/>
            </c:ext>
          </c:extLst>
        </c:ser>
        <c:ser>
          <c:idx val="1"/>
          <c:order val="2"/>
          <c:tx>
            <c:v>L-band RMS</c:v>
          </c:tx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  <c:marker>
            <c:symbol val="diamond"/>
            <c:size val="6"/>
            <c:spPr>
              <a:solidFill>
                <a:schemeClr val="accent5">
                  <a:lumMod val="60000"/>
                  <a:lumOff val="40000"/>
                </a:schemeClr>
              </a:solidFill>
            </c:spPr>
          </c:marker>
          <c:xVal>
            <c:numRef>
              <c:f>'1st bg284b'!$B$4:$B$10</c:f>
              <c:numCache>
                <c:formatCode>General</c:formatCode>
                <c:ptCount val="7"/>
                <c:pt idx="0">
                  <c:v>1090</c:v>
                </c:pt>
                <c:pt idx="1">
                  <c:v>3445</c:v>
                </c:pt>
                <c:pt idx="2">
                  <c:v>5000</c:v>
                </c:pt>
                <c:pt idx="3">
                  <c:v>10000</c:v>
                </c:pt>
                <c:pt idx="4">
                  <c:v>15000</c:v>
                </c:pt>
                <c:pt idx="5">
                  <c:v>20000</c:v>
                </c:pt>
                <c:pt idx="6">
                  <c:v>25000</c:v>
                </c:pt>
              </c:numCache>
            </c:numRef>
          </c:xVal>
          <c:yVal>
            <c:numRef>
              <c:f>'1st bg284b'!$F$4:$F$10</c:f>
              <c:numCache>
                <c:formatCode>General</c:formatCode>
                <c:ptCount val="7"/>
                <c:pt idx="0">
                  <c:v>2.8900000000000002E-2</c:v>
                </c:pt>
                <c:pt idx="2">
                  <c:v>3.4200000000000001E-2</c:v>
                </c:pt>
                <c:pt idx="3">
                  <c:v>3.8800000000000001E-2</c:v>
                </c:pt>
                <c:pt idx="4">
                  <c:v>5.1400000000000001E-2</c:v>
                </c:pt>
                <c:pt idx="5">
                  <c:v>7.7899999999999997E-2</c:v>
                </c:pt>
                <c:pt idx="6">
                  <c:v>0.106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5A6-2C46-B879-9179FD8C9C8E}"/>
            </c:ext>
          </c:extLst>
        </c:ser>
        <c:ser>
          <c:idx val="3"/>
          <c:order val="3"/>
          <c:tx>
            <c:v>C-Band RMS</c:v>
          </c:tx>
          <c:spPr>
            <a:ln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ymbol val="diamond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'1st bg284b'!$B$4:$B$23</c:f>
              <c:numCache>
                <c:formatCode>General</c:formatCode>
                <c:ptCount val="20"/>
                <c:pt idx="0">
                  <c:v>1090</c:v>
                </c:pt>
                <c:pt idx="1">
                  <c:v>3445</c:v>
                </c:pt>
                <c:pt idx="2">
                  <c:v>5000</c:v>
                </c:pt>
                <c:pt idx="3">
                  <c:v>10000</c:v>
                </c:pt>
                <c:pt idx="4">
                  <c:v>15000</c:v>
                </c:pt>
                <c:pt idx="5">
                  <c:v>20000</c:v>
                </c:pt>
                <c:pt idx="6">
                  <c:v>25000</c:v>
                </c:pt>
                <c:pt idx="7">
                  <c:v>30000</c:v>
                </c:pt>
                <c:pt idx="8">
                  <c:v>35000</c:v>
                </c:pt>
                <c:pt idx="9">
                  <c:v>40000</c:v>
                </c:pt>
                <c:pt idx="10">
                  <c:v>43000</c:v>
                </c:pt>
                <c:pt idx="11">
                  <c:v>45000</c:v>
                </c:pt>
                <c:pt idx="12">
                  <c:v>50000</c:v>
                </c:pt>
                <c:pt idx="13">
                  <c:v>55000</c:v>
                </c:pt>
                <c:pt idx="14">
                  <c:v>60000</c:v>
                </c:pt>
                <c:pt idx="15">
                  <c:v>65000</c:v>
                </c:pt>
                <c:pt idx="16">
                  <c:v>70000</c:v>
                </c:pt>
                <c:pt idx="17">
                  <c:v>75000</c:v>
                </c:pt>
                <c:pt idx="18">
                  <c:v>80000</c:v>
                </c:pt>
                <c:pt idx="19">
                  <c:v>85000</c:v>
                </c:pt>
              </c:numCache>
            </c:numRef>
          </c:xVal>
          <c:yVal>
            <c:numRef>
              <c:f>'1st bg284b'!$K$4:$K$15</c:f>
              <c:numCache>
                <c:formatCode>General</c:formatCode>
                <c:ptCount val="12"/>
                <c:pt idx="1">
                  <c:v>1.7730000000000003E-2</c:v>
                </c:pt>
                <c:pt idx="2">
                  <c:v>1.686E-2</c:v>
                </c:pt>
                <c:pt idx="3">
                  <c:v>1.7689999999999997E-2</c:v>
                </c:pt>
                <c:pt idx="4">
                  <c:v>1.7589999999999998E-2</c:v>
                </c:pt>
                <c:pt idx="5">
                  <c:v>1.865E-2</c:v>
                </c:pt>
                <c:pt idx="6">
                  <c:v>1.9910000000000001E-2</c:v>
                </c:pt>
                <c:pt idx="7">
                  <c:v>2.0629999999999999E-2</c:v>
                </c:pt>
                <c:pt idx="8">
                  <c:v>2.0709999999999999E-2</c:v>
                </c:pt>
                <c:pt idx="9">
                  <c:v>2.2330000000000003E-2</c:v>
                </c:pt>
                <c:pt idx="11">
                  <c:v>2.3649999999999997E-2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5A6-2C46-B879-9179FD8C9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09363"/>
        <c:axId val="904966794"/>
      </c:scatterChart>
      <c:valAx>
        <c:axId val="49509363"/>
        <c:scaling>
          <c:orientation val="minMax"/>
          <c:max val="46000"/>
          <c:min val="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b_min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E"/>
          </a:p>
        </c:txPr>
        <c:crossAx val="904966794"/>
        <c:crosses val="autoZero"/>
        <c:crossBetween val="midCat"/>
        <c:majorUnit val="10000"/>
      </c:valAx>
      <c:valAx>
        <c:axId val="904966794"/>
        <c:scaling>
          <c:orientation val="minMax"/>
          <c:max val="3.6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Flux milliJy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E"/>
          </a:p>
        </c:txPr>
        <c:crossAx val="49509363"/>
        <c:crosses val="autoZero"/>
        <c:crossBetween val="midCat"/>
        <c:majorUnit val="0.5"/>
      </c:valAx>
    </c:plotArea>
    <c:legend>
      <c:legendPos val="b"/>
      <c:overlay val="0"/>
    </c:legend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/>
                </a:solidFill>
              </a:rPr>
              <a:t>1. MaNGA 1-26878 </a:t>
            </a:r>
            <a:r>
              <a:rPr lang="en-US"/>
              <a:t>Spectral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997-2941-BC7D-C7B411F6CC65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'1st bg284b'!$AD$6:$AD$23</c:f>
                <c:numCache>
                  <c:formatCode>General</c:formatCode>
                  <c:ptCount val="18"/>
                  <c:pt idx="0">
                    <c:v>5.273097314922217E-2</c:v>
                  </c:pt>
                  <c:pt idx="1">
                    <c:v>6.4250913606856044E-2</c:v>
                  </c:pt>
                  <c:pt idx="2">
                    <c:v>9.7246617822274048E-2</c:v>
                  </c:pt>
                  <c:pt idx="3">
                    <c:v>0.13799994933330176</c:v>
                  </c:pt>
                  <c:pt idx="4">
                    <c:v>0.30499838614268515</c:v>
                  </c:pt>
                  <c:pt idx="5">
                    <c:v>0.27523084755305866</c:v>
                  </c:pt>
                </c:numCache>
              </c:numRef>
            </c:plus>
            <c:minus>
              <c:numRef>
                <c:f>'1st bg284b'!$AD$6:$AD$23</c:f>
                <c:numCache>
                  <c:formatCode>General</c:formatCode>
                  <c:ptCount val="18"/>
                  <c:pt idx="0">
                    <c:v>5.273097314922217E-2</c:v>
                  </c:pt>
                  <c:pt idx="1">
                    <c:v>6.4250913606856044E-2</c:v>
                  </c:pt>
                  <c:pt idx="2">
                    <c:v>9.7246617822274048E-2</c:v>
                  </c:pt>
                  <c:pt idx="3">
                    <c:v>0.13799994933330176</c:v>
                  </c:pt>
                  <c:pt idx="4">
                    <c:v>0.30499838614268515</c:v>
                  </c:pt>
                  <c:pt idx="5">
                    <c:v>0.27523084755305866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'1st bg284b'!$AB$6:$AB$11</c:f>
              <c:numCache>
                <c:formatCode>General</c:formatCode>
                <c:ptCount val="6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</c:numCache>
            </c:numRef>
          </c:xVal>
          <c:yVal>
            <c:numRef>
              <c:f>'1st bg284b'!$AC$6:$AC$11</c:f>
              <c:numCache>
                <c:formatCode>General</c:formatCode>
                <c:ptCount val="6"/>
                <c:pt idx="0">
                  <c:v>-0.51697192239283218</c:v>
                </c:pt>
                <c:pt idx="1">
                  <c:v>-0.2039921509598982</c:v>
                </c:pt>
                <c:pt idx="2">
                  <c:v>1.9648739781191558E-2</c:v>
                </c:pt>
                <c:pt idx="3">
                  <c:v>0.29712937705021258</c:v>
                </c:pt>
                <c:pt idx="4">
                  <c:v>-0.38228191231032627</c:v>
                </c:pt>
                <c:pt idx="5">
                  <c:v>-6.6333417742397774E-2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E-C144-9D2A-B82C0E4B9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079024"/>
        <c:axId val="515187696"/>
      </c:scatterChart>
      <c:valAx>
        <c:axId val="832079024"/>
        <c:scaling>
          <c:orientation val="minMax"/>
          <c:max val="41000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515187696"/>
        <c:crosses val="autoZero"/>
        <c:crossBetween val="midCat"/>
      </c:valAx>
      <c:valAx>
        <c:axId val="51518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83207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/>
                </a:solidFill>
              </a:rPr>
              <a:t>1. MaNGA 1-26878 </a:t>
            </a:r>
            <a:r>
              <a:rPr lang="en-US"/>
              <a:t>X vs Y</a:t>
            </a:r>
            <a:r>
              <a:rPr lang="en-US" baseline="0"/>
              <a:t> positions L-Band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bg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9696A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BB2-E740-BE52-70D16D542BA4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9806F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BB2-E740-BE52-70D16D542BA4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A9F76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BB2-E740-BE52-70D16D542BA4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CBD7B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BB2-E740-BE52-70D16D542BA4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ED07D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BB2-E740-BE52-70D16D542BA4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EC84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7BB2-E740-BE52-70D16D542BA4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CCDE82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7BB2-E740-BE52-70D16D542BA4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86C97D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7BB2-E740-BE52-70D16D542BA4}"/>
              </c:ext>
            </c:extLst>
          </c:dPt>
          <c:dLbls>
            <c:dLbl>
              <c:idx val="0"/>
              <c:layout>
                <c:manualLayout>
                  <c:x val="-2.6739300113940993E-2"/>
                  <c:y val="9.7193338223238557E-2"/>
                </c:manualLayout>
              </c:layout>
              <c:tx>
                <c:rich>
                  <a:bodyPr/>
                  <a:lstStyle/>
                  <a:p>
                    <a:fld id="{18FF09FB-044F-3E44-B7B9-74926E52C7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BB2-E740-BE52-70D16D542BA4}"/>
                </c:ext>
              </c:extLst>
            </c:dLbl>
            <c:dLbl>
              <c:idx val="1"/>
              <c:layout>
                <c:manualLayout>
                  <c:x val="0.11248236265220375"/>
                  <c:y val="7.7646301649623911E-2"/>
                </c:manualLayout>
              </c:layout>
              <c:tx>
                <c:rich>
                  <a:bodyPr/>
                  <a:lstStyle/>
                  <a:p>
                    <a:fld id="{AC04FB88-D909-964D-BAC4-8D3A4F772C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BB2-E740-BE52-70D16D542BA4}"/>
                </c:ext>
              </c:extLst>
            </c:dLbl>
            <c:dLbl>
              <c:idx val="2"/>
              <c:layout>
                <c:manualLayout>
                  <c:x val="-5.9638003864633318E-2"/>
                  <c:y val="-0.2248594152248638"/>
                </c:manualLayout>
              </c:layout>
              <c:tx>
                <c:rich>
                  <a:bodyPr/>
                  <a:lstStyle/>
                  <a:p>
                    <a:fld id="{FDF3BAC2-850E-D545-8955-72329DDC87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BB2-E740-BE52-70D16D542BA4}"/>
                </c:ext>
              </c:extLst>
            </c:dLbl>
            <c:dLbl>
              <c:idx val="3"/>
              <c:layout>
                <c:manualLayout>
                  <c:x val="7.8227238508151609E-2"/>
                  <c:y val="-0.44769707037148898"/>
                </c:manualLayout>
              </c:layout>
              <c:tx>
                <c:rich>
                  <a:bodyPr/>
                  <a:lstStyle/>
                  <a:p>
                    <a:fld id="{F469683E-BAED-7D4D-979A-15053DF106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BB2-E740-BE52-70D16D542BA4}"/>
                </c:ext>
              </c:extLst>
            </c:dLbl>
            <c:dLbl>
              <c:idx val="4"/>
              <c:layout>
                <c:manualLayout>
                  <c:x val="0.11873012355115602"/>
                  <c:y val="-0.1637949260042284"/>
                </c:manualLayout>
              </c:layout>
              <c:tx>
                <c:rich>
                  <a:bodyPr/>
                  <a:lstStyle/>
                  <a:p>
                    <a:fld id="{780F54EA-BDC8-C443-9C24-7508014FD1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BB2-E740-BE52-70D16D542BA4}"/>
                </c:ext>
              </c:extLst>
            </c:dLbl>
            <c:dLbl>
              <c:idx val="5"/>
              <c:layout>
                <c:manualLayout>
                  <c:x val="9.9288797495438952E-2"/>
                  <c:y val="-7.8002977089355829E-2"/>
                </c:manualLayout>
              </c:layout>
              <c:tx>
                <c:rich>
                  <a:bodyPr/>
                  <a:lstStyle/>
                  <a:p>
                    <a:fld id="{78125776-0C45-7846-A19E-0CB58F954B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BB2-E740-BE52-70D16D542BA4}"/>
                </c:ext>
              </c:extLst>
            </c:dLbl>
            <c:dLbl>
              <c:idx val="6"/>
              <c:layout>
                <c:manualLayout>
                  <c:x val="-0.10082392898949727"/>
                  <c:y val="9.9453218310608577E-2"/>
                </c:manualLayout>
              </c:layout>
              <c:tx>
                <c:rich>
                  <a:bodyPr/>
                  <a:lstStyle/>
                  <a:p>
                    <a:fld id="{C2751689-86E8-2640-8E1E-46D76D32CC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BB2-E740-BE52-70D16D542BA4}"/>
                </c:ext>
              </c:extLst>
            </c:dLbl>
            <c:dLbl>
              <c:idx val="8"/>
              <c:layout>
                <c:manualLayout>
                  <c:x val="-0.11410025629305731"/>
                  <c:y val="-0.1023563792675284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7-7BB2-E740-BE52-70D16D542B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E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'1st bg284b'!$Q$51:$Q$59</c:f>
                <c:numCache>
                  <c:formatCode>General</c:formatCode>
                  <c:ptCount val="9"/>
                  <c:pt idx="0">
                    <c:v>1.0440000000000001E-2</c:v>
                  </c:pt>
                  <c:pt idx="1">
                    <c:v>1.1880000000000002E-2</c:v>
                  </c:pt>
                  <c:pt idx="2">
                    <c:v>1.4660000000000001E-2</c:v>
                  </c:pt>
                  <c:pt idx="3">
                    <c:v>2.4060000000000002E-2</c:v>
                  </c:pt>
                  <c:pt idx="4">
                    <c:v>3.6580000000000001E-2</c:v>
                  </c:pt>
                  <c:pt idx="5">
                    <c:v>0.24238000000000001</c:v>
                  </c:pt>
                  <c:pt idx="6">
                    <c:v>0.19581999999999999</c:v>
                  </c:pt>
                  <c:pt idx="8">
                    <c:v>0.23443999999999998</c:v>
                  </c:pt>
                </c:numCache>
              </c:numRef>
            </c:plus>
            <c:minus>
              <c:numRef>
                <c:f>'1st bg284b'!$Q$51:$Q$59</c:f>
                <c:numCache>
                  <c:formatCode>General</c:formatCode>
                  <c:ptCount val="9"/>
                  <c:pt idx="0">
                    <c:v>1.0440000000000001E-2</c:v>
                  </c:pt>
                  <c:pt idx="1">
                    <c:v>1.1880000000000002E-2</c:v>
                  </c:pt>
                  <c:pt idx="2">
                    <c:v>1.4660000000000001E-2</c:v>
                  </c:pt>
                  <c:pt idx="3">
                    <c:v>2.4060000000000002E-2</c:v>
                  </c:pt>
                  <c:pt idx="4">
                    <c:v>3.6580000000000001E-2</c:v>
                  </c:pt>
                  <c:pt idx="5">
                    <c:v>0.24238000000000001</c:v>
                  </c:pt>
                  <c:pt idx="6">
                    <c:v>0.19581999999999999</c:v>
                  </c:pt>
                  <c:pt idx="8">
                    <c:v>0.23443999999999998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'1st bg284b'!$S$51:$S$59</c:f>
                <c:numCache>
                  <c:formatCode>General</c:formatCode>
                  <c:ptCount val="9"/>
                  <c:pt idx="0">
                    <c:v>2.35E-2</c:v>
                  </c:pt>
                  <c:pt idx="1">
                    <c:v>2.8620000000000003E-2</c:v>
                  </c:pt>
                  <c:pt idx="2">
                    <c:v>4.2120000000000005E-2</c:v>
                  </c:pt>
                  <c:pt idx="3">
                    <c:v>9.0220000000000009E-2</c:v>
                  </c:pt>
                  <c:pt idx="4">
                    <c:v>9.8180000000000003E-2</c:v>
                  </c:pt>
                  <c:pt idx="5">
                    <c:v>0.53344000000000003</c:v>
                  </c:pt>
                  <c:pt idx="6">
                    <c:v>0.48554000000000008</c:v>
                  </c:pt>
                  <c:pt idx="8">
                    <c:v>0.53788000000000002</c:v>
                  </c:pt>
                </c:numCache>
              </c:numRef>
            </c:plus>
            <c:minus>
              <c:numRef>
                <c:f>'1st bg284b'!$S$51:$S$59</c:f>
                <c:numCache>
                  <c:formatCode>General</c:formatCode>
                  <c:ptCount val="9"/>
                  <c:pt idx="0">
                    <c:v>2.35E-2</c:v>
                  </c:pt>
                  <c:pt idx="1">
                    <c:v>2.8620000000000003E-2</c:v>
                  </c:pt>
                  <c:pt idx="2">
                    <c:v>4.2120000000000005E-2</c:v>
                  </c:pt>
                  <c:pt idx="3">
                    <c:v>9.0220000000000009E-2</c:v>
                  </c:pt>
                  <c:pt idx="4">
                    <c:v>9.8180000000000003E-2</c:v>
                  </c:pt>
                  <c:pt idx="5">
                    <c:v>0.53344000000000003</c:v>
                  </c:pt>
                  <c:pt idx="6">
                    <c:v>0.48554000000000008</c:v>
                  </c:pt>
                  <c:pt idx="8">
                    <c:v>0.53788000000000002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'1st bg284b'!$P$51:$P$57</c:f>
              <c:numCache>
                <c:formatCode>General</c:formatCode>
                <c:ptCount val="7"/>
                <c:pt idx="0">
                  <c:v>1.821199999999999</c:v>
                </c:pt>
                <c:pt idx="1">
                  <c:v>1.8561999999999899</c:v>
                </c:pt>
                <c:pt idx="2">
                  <c:v>1.9079999999999928</c:v>
                </c:pt>
                <c:pt idx="3">
                  <c:v>1.9756000000000087</c:v>
                </c:pt>
                <c:pt idx="4">
                  <c:v>1.9551999999999907</c:v>
                </c:pt>
                <c:pt idx="5">
                  <c:v>2.437599999999998</c:v>
                </c:pt>
                <c:pt idx="6">
                  <c:v>6.1281999999999925</c:v>
                </c:pt>
              </c:numCache>
            </c:numRef>
          </c:xVal>
          <c:yVal>
            <c:numRef>
              <c:f>'1st bg284b'!$R$51:$R$57</c:f>
              <c:numCache>
                <c:formatCode>General</c:formatCode>
                <c:ptCount val="7"/>
                <c:pt idx="0">
                  <c:v>-3.5516000000000076</c:v>
                </c:pt>
                <c:pt idx="1">
                  <c:v>-3.418399999999997</c:v>
                </c:pt>
                <c:pt idx="2">
                  <c:v>-3.1832000000000109</c:v>
                </c:pt>
                <c:pt idx="3">
                  <c:v>-2.5736000000000105</c:v>
                </c:pt>
                <c:pt idx="4">
                  <c:v>-2.9425999999999934</c:v>
                </c:pt>
                <c:pt idx="5">
                  <c:v>-3.7710000000000039</c:v>
                </c:pt>
                <c:pt idx="6">
                  <c:v>-4.4599999999991272E-2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'1st bg284b'!$B$51:$B$60</c15:f>
                <c15:dlblRangeCache>
                  <c:ptCount val="10"/>
                  <c:pt idx="0">
                    <c:v>1090</c:v>
                  </c:pt>
                  <c:pt idx="1">
                    <c:v>5000</c:v>
                  </c:pt>
                  <c:pt idx="2">
                    <c:v>10000</c:v>
                  </c:pt>
                  <c:pt idx="3">
                    <c:v>15000</c:v>
                  </c:pt>
                  <c:pt idx="4">
                    <c:v>20000</c:v>
                  </c:pt>
                  <c:pt idx="5">
                    <c:v>25000</c:v>
                  </c:pt>
                  <c:pt idx="6">
                    <c:v>30000</c:v>
                  </c:pt>
                  <c:pt idx="7">
                    <c:v>35000</c:v>
                  </c:pt>
                  <c:pt idx="8">
                    <c:v>40000</c:v>
                  </c:pt>
                  <c:pt idx="9">
                    <c:v>45000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7BB2-E740-BE52-70D16D542BA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4957599"/>
        <c:axId val="1997796431"/>
      </c:scatterChart>
      <c:valAx>
        <c:axId val="2044957599"/>
        <c:scaling>
          <c:orientation val="minMax"/>
          <c:max val="4.9000000000000004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1997796431"/>
        <c:crosses val="autoZero"/>
        <c:crossBetween val="midCat"/>
      </c:valAx>
      <c:valAx>
        <c:axId val="199779643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2044957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/>
                </a:solidFill>
              </a:rPr>
              <a:t>1. MaNGA 1-26878 </a:t>
            </a:r>
            <a:r>
              <a:rPr lang="en-US"/>
              <a:t>X vs Y</a:t>
            </a:r>
            <a:r>
              <a:rPr lang="en-US" baseline="0"/>
              <a:t> positions C-Band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bg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9696A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A6B-AB42-85A9-8D225C5D9429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86D6B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A6B-AB42-85A9-8D225C5D9429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97E6E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A6B-AB42-85A9-8D225C5D9429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A8E72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A6B-AB42-85A9-8D225C5D9429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A9F76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A6B-AB42-85A9-8D225C5D9429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CB078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A6B-AB42-85A9-8D225C5D9429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FDC17B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A6B-AB42-85A9-8D225C5D9429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FED27E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A6B-AB42-85A9-8D225C5D9429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FEE282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A6B-AB42-85A9-8D225C5D9429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7E984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A6B-AB42-85A9-8D225C5D9429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E4E483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A6B-AB42-85A9-8D225C5D9429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D2DF82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A6B-AB42-85A9-8D225C5D9429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BFD98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A6B-AB42-85A9-8D225C5D9429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ADD480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DA6B-AB42-85A9-8D225C5D9429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9CCF7F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DA6B-AB42-85A9-8D225C5D9429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88C97D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DA6B-AB42-85A9-8D225C5D9429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rgbClr val="76C47D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DA6B-AB42-85A9-8D225C5D9429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rgbClr val="63BE7B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DA6B-AB42-85A9-8D225C5D9429}"/>
              </c:ext>
            </c:extLst>
          </c:dPt>
          <c:dLbls>
            <c:dLbl>
              <c:idx val="0"/>
              <c:layout>
                <c:manualLayout>
                  <c:x val="-0.13729411090047453"/>
                  <c:y val="-0.14916561793384286"/>
                </c:manualLayout>
              </c:layout>
              <c:tx>
                <c:rich>
                  <a:bodyPr/>
                  <a:lstStyle/>
                  <a:p>
                    <a:fld id="{51759ED8-E188-734B-B14F-D380610992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A6B-AB42-85A9-8D225C5D9429}"/>
                </c:ext>
              </c:extLst>
            </c:dLbl>
            <c:dLbl>
              <c:idx val="1"/>
              <c:layout>
                <c:manualLayout>
                  <c:x val="-0.10984775163441181"/>
                  <c:y val="-2.4232305648248433E-2"/>
                </c:manualLayout>
              </c:layout>
              <c:tx>
                <c:rich>
                  <a:bodyPr/>
                  <a:lstStyle/>
                  <a:p>
                    <a:fld id="{D16600A4-3D06-3E42-A7E0-4CB832E6A4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A6B-AB42-85A9-8D225C5D9429}"/>
                </c:ext>
              </c:extLst>
            </c:dLbl>
            <c:dLbl>
              <c:idx val="2"/>
              <c:layout>
                <c:manualLayout>
                  <c:x val="1.2339941093063808E-2"/>
                  <c:y val="8.8202450015274228E-2"/>
                </c:manualLayout>
              </c:layout>
              <c:tx>
                <c:rich>
                  <a:bodyPr/>
                  <a:lstStyle/>
                  <a:p>
                    <a:fld id="{7817D4AF-D509-6D4D-BE67-6F41E08CA6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A6B-AB42-85A9-8D225C5D9429}"/>
                </c:ext>
              </c:extLst>
            </c:dLbl>
            <c:dLbl>
              <c:idx val="3"/>
              <c:layout>
                <c:manualLayout>
                  <c:x val="3.6530208799355597E-2"/>
                  <c:y val="2.9202276079098571E-2"/>
                </c:manualLayout>
              </c:layout>
              <c:tx>
                <c:rich>
                  <a:bodyPr/>
                  <a:lstStyle/>
                  <a:p>
                    <a:fld id="{97DF5A7D-EA83-B54D-AA72-53239FA47A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A6B-AB42-85A9-8D225C5D9429}"/>
                </c:ext>
              </c:extLst>
            </c:dLbl>
            <c:dLbl>
              <c:idx val="4"/>
              <c:layout>
                <c:manualLayout>
                  <c:x val="-0.11675970031867382"/>
                  <c:y val="-6.8631341544874797E-2"/>
                </c:manualLayout>
              </c:layout>
              <c:tx>
                <c:rich>
                  <a:bodyPr/>
                  <a:lstStyle/>
                  <a:p>
                    <a:fld id="{5C580E59-37DD-7F41-A3B4-E759B13690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A6B-AB42-85A9-8D225C5D9429}"/>
                </c:ext>
              </c:extLst>
            </c:dLbl>
            <c:dLbl>
              <c:idx val="5"/>
              <c:layout>
                <c:manualLayout>
                  <c:x val="7.1452039208079118E-2"/>
                  <c:y val="-9.4740403911956136E-3"/>
                </c:manualLayout>
              </c:layout>
              <c:tx>
                <c:rich>
                  <a:bodyPr/>
                  <a:lstStyle/>
                  <a:p>
                    <a:fld id="{884ED988-33B4-3341-954E-41DEC1B8CD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A6B-AB42-85A9-8D225C5D9429}"/>
                </c:ext>
              </c:extLst>
            </c:dLbl>
            <c:dLbl>
              <c:idx val="6"/>
              <c:layout>
                <c:manualLayout>
                  <c:x val="-0.15469830121372638"/>
                  <c:y val="-0.12716744207121453"/>
                </c:manualLayout>
              </c:layout>
              <c:tx>
                <c:rich>
                  <a:bodyPr/>
                  <a:lstStyle/>
                  <a:p>
                    <a:fld id="{59EF28A3-83F9-204C-965B-9675D67016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A6B-AB42-85A9-8D225C5D9429}"/>
                </c:ext>
              </c:extLst>
            </c:dLbl>
            <c:dLbl>
              <c:idx val="7"/>
              <c:layout>
                <c:manualLayout>
                  <c:x val="-7.7164484173031277E-3"/>
                  <c:y val="0.17887252816962138"/>
                </c:manualLayout>
              </c:layout>
              <c:tx>
                <c:rich>
                  <a:bodyPr/>
                  <a:lstStyle/>
                  <a:p>
                    <a:fld id="{9A016934-67D2-D74F-8FAA-DF99AD6FA9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A6B-AB42-85A9-8D225C5D9429}"/>
                </c:ext>
              </c:extLst>
            </c:dLbl>
            <c:dLbl>
              <c:idx val="8"/>
              <c:layout>
                <c:manualLayout>
                  <c:x val="7.0439686224401596E-2"/>
                  <c:y val="-6.5483316012798193E-2"/>
                </c:manualLayout>
              </c:layout>
              <c:tx>
                <c:rich>
                  <a:bodyPr/>
                  <a:lstStyle/>
                  <a:p>
                    <a:fld id="{611BAB60-FAD1-3149-A04C-540A567E6E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A6B-AB42-85A9-8D225C5D9429}"/>
                </c:ext>
              </c:extLst>
            </c:dLbl>
            <c:dLbl>
              <c:idx val="9"/>
              <c:layout>
                <c:manualLayout>
                  <c:x val="-0.13170277564829419"/>
                  <c:y val="-0.1930380949457656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DA6B-AB42-85A9-8D225C5D9429}"/>
                </c:ext>
              </c:extLst>
            </c:dLbl>
            <c:dLbl>
              <c:idx val="10"/>
              <c:layout>
                <c:manualLayout>
                  <c:x val="-0.1132980327849169"/>
                  <c:y val="0.22241686508545511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A-DA6B-AB42-85A9-8D225C5D9429}"/>
                </c:ext>
              </c:extLst>
            </c:dLbl>
            <c:dLbl>
              <c:idx val="11"/>
              <c:layout>
                <c:manualLayout>
                  <c:x val="-0.49573338836170749"/>
                  <c:y val="-6.9098012087994926E-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B-DA6B-AB42-85A9-8D225C5D9429}"/>
                </c:ext>
              </c:extLst>
            </c:dLbl>
            <c:dLbl>
              <c:idx val="12"/>
              <c:layout>
                <c:manualLayout>
                  <c:x val="-0.315405016693169"/>
                  <c:y val="-0.3705274197052941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C-DA6B-AB42-85A9-8D225C5D9429}"/>
                </c:ext>
              </c:extLst>
            </c:dLbl>
            <c:dLbl>
              <c:idx val="13"/>
              <c:layout>
                <c:manualLayout>
                  <c:x val="-0.34183386786388154"/>
                  <c:y val="-0.5425426324276945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D-DA6B-AB42-85A9-8D225C5D9429}"/>
                </c:ext>
              </c:extLst>
            </c:dLbl>
            <c:dLbl>
              <c:idx val="14"/>
              <c:layout>
                <c:manualLayout>
                  <c:x val="-0.24914937971017889"/>
                  <c:y val="-8.9130855723025579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E-DA6B-AB42-85A9-8D225C5D9429}"/>
                </c:ext>
              </c:extLst>
            </c:dLbl>
            <c:dLbl>
              <c:idx val="15"/>
              <c:layout>
                <c:manualLayout>
                  <c:x val="-0.25980417215507234"/>
                  <c:y val="-0.1359130811379684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F-DA6B-AB42-85A9-8D225C5D9429}"/>
                </c:ext>
              </c:extLst>
            </c:dLbl>
            <c:dLbl>
              <c:idx val="16"/>
              <c:layout>
                <c:manualLayout>
                  <c:x val="-0.44268581309117511"/>
                  <c:y val="-1.9694725655136004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0-DA6B-AB42-85A9-8D225C5D9429}"/>
                </c:ext>
              </c:extLst>
            </c:dLbl>
            <c:dLbl>
              <c:idx val="17"/>
              <c:layout>
                <c:manualLayout>
                  <c:x val="-0.18589775212880527"/>
                  <c:y val="3.2335080179359627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1-DA6B-AB42-85A9-8D225C5D94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E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'1st bg284b'!$Q$82:$Q$99</c:f>
                <c:numCache>
                  <c:formatCode>General</c:formatCode>
                  <c:ptCount val="18"/>
                  <c:pt idx="0">
                    <c:v>6.8999999999999992E-2</c:v>
                  </c:pt>
                  <c:pt idx="1">
                    <c:v>7.2499999999999995E-2</c:v>
                  </c:pt>
                  <c:pt idx="2">
                    <c:v>7.5800000000000006E-2</c:v>
                  </c:pt>
                  <c:pt idx="3">
                    <c:v>7.4499999999999997E-2</c:v>
                  </c:pt>
                  <c:pt idx="4">
                    <c:v>6.5119999999999997E-2</c:v>
                  </c:pt>
                  <c:pt idx="5">
                    <c:v>5.2180000000000004E-2</c:v>
                  </c:pt>
                  <c:pt idx="6">
                    <c:v>5.7779999999999998E-2</c:v>
                  </c:pt>
                  <c:pt idx="7">
                    <c:v>6.3600000000000004E-2</c:v>
                  </c:pt>
                  <c:pt idx="8">
                    <c:v>0.11638</c:v>
                  </c:pt>
                  <c:pt idx="9">
                    <c:v>5.6340000000000001E-2</c:v>
                  </c:pt>
                  <c:pt idx="10">
                    <c:v>6.4439999999999997E-2</c:v>
                  </c:pt>
                  <c:pt idx="14">
                    <c:v>0</c:v>
                  </c:pt>
                  <c:pt idx="15">
                    <c:v>3.0759999999999999E-2</c:v>
                  </c:pt>
                  <c:pt idx="16">
                    <c:v>3.0220000000000004E-2</c:v>
                  </c:pt>
                  <c:pt idx="17">
                    <c:v>2.9899999999999999E-2</c:v>
                  </c:pt>
                </c:numCache>
              </c:numRef>
            </c:plus>
            <c:minus>
              <c:numRef>
                <c:f>'1st bg284b'!$Q$82:$Q$99</c:f>
                <c:numCache>
                  <c:formatCode>General</c:formatCode>
                  <c:ptCount val="18"/>
                  <c:pt idx="0">
                    <c:v>6.8999999999999992E-2</c:v>
                  </c:pt>
                  <c:pt idx="1">
                    <c:v>7.2499999999999995E-2</c:v>
                  </c:pt>
                  <c:pt idx="2">
                    <c:v>7.5800000000000006E-2</c:v>
                  </c:pt>
                  <c:pt idx="3">
                    <c:v>7.4499999999999997E-2</c:v>
                  </c:pt>
                  <c:pt idx="4">
                    <c:v>6.5119999999999997E-2</c:v>
                  </c:pt>
                  <c:pt idx="5">
                    <c:v>5.2180000000000004E-2</c:v>
                  </c:pt>
                  <c:pt idx="6">
                    <c:v>5.7779999999999998E-2</c:v>
                  </c:pt>
                  <c:pt idx="7">
                    <c:v>6.3600000000000004E-2</c:v>
                  </c:pt>
                  <c:pt idx="8">
                    <c:v>0.11638</c:v>
                  </c:pt>
                  <c:pt idx="9">
                    <c:v>5.6340000000000001E-2</c:v>
                  </c:pt>
                  <c:pt idx="10">
                    <c:v>6.4439999999999997E-2</c:v>
                  </c:pt>
                  <c:pt idx="14">
                    <c:v>0</c:v>
                  </c:pt>
                  <c:pt idx="15">
                    <c:v>3.0759999999999999E-2</c:v>
                  </c:pt>
                  <c:pt idx="16">
                    <c:v>3.0220000000000004E-2</c:v>
                  </c:pt>
                  <c:pt idx="17">
                    <c:v>2.9899999999999999E-2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'1st bg284b'!$S$82:$S$99</c:f>
                <c:numCache>
                  <c:formatCode>General</c:formatCode>
                  <c:ptCount val="18"/>
                  <c:pt idx="0">
                    <c:v>0.14304</c:v>
                  </c:pt>
                  <c:pt idx="1">
                    <c:v>0.15034000000000003</c:v>
                  </c:pt>
                  <c:pt idx="2">
                    <c:v>0.15740000000000001</c:v>
                  </c:pt>
                  <c:pt idx="3">
                    <c:v>0.15234000000000003</c:v>
                  </c:pt>
                  <c:pt idx="4">
                    <c:v>0.1303</c:v>
                  </c:pt>
                  <c:pt idx="5">
                    <c:v>0.10468</c:v>
                  </c:pt>
                  <c:pt idx="6">
                    <c:v>0.13972000000000001</c:v>
                  </c:pt>
                  <c:pt idx="7">
                    <c:v>0.16896</c:v>
                  </c:pt>
                  <c:pt idx="8">
                    <c:v>0.44257999999999997</c:v>
                  </c:pt>
                  <c:pt idx="9">
                    <c:v>0.16868000000000002</c:v>
                  </c:pt>
                  <c:pt idx="10">
                    <c:v>0.20764000000000002</c:v>
                  </c:pt>
                  <c:pt idx="14">
                    <c:v>0</c:v>
                  </c:pt>
                  <c:pt idx="15">
                    <c:v>6.318E-2</c:v>
                  </c:pt>
                  <c:pt idx="16">
                    <c:v>6.2920000000000004E-2</c:v>
                  </c:pt>
                  <c:pt idx="17">
                    <c:v>6.2140000000000001E-2</c:v>
                  </c:pt>
                </c:numCache>
              </c:numRef>
            </c:plus>
            <c:minus>
              <c:numRef>
                <c:f>'1st bg284b'!$S$82:$S$99</c:f>
                <c:numCache>
                  <c:formatCode>General</c:formatCode>
                  <c:ptCount val="18"/>
                  <c:pt idx="0">
                    <c:v>0.14304</c:v>
                  </c:pt>
                  <c:pt idx="1">
                    <c:v>0.15034000000000003</c:v>
                  </c:pt>
                  <c:pt idx="2">
                    <c:v>0.15740000000000001</c:v>
                  </c:pt>
                  <c:pt idx="3">
                    <c:v>0.15234000000000003</c:v>
                  </c:pt>
                  <c:pt idx="4">
                    <c:v>0.1303</c:v>
                  </c:pt>
                  <c:pt idx="5">
                    <c:v>0.10468</c:v>
                  </c:pt>
                  <c:pt idx="6">
                    <c:v>0.13972000000000001</c:v>
                  </c:pt>
                  <c:pt idx="7">
                    <c:v>0.16896</c:v>
                  </c:pt>
                  <c:pt idx="8">
                    <c:v>0.44257999999999997</c:v>
                  </c:pt>
                  <c:pt idx="9">
                    <c:v>0.16868000000000002</c:v>
                  </c:pt>
                  <c:pt idx="10">
                    <c:v>0.20764000000000002</c:v>
                  </c:pt>
                  <c:pt idx="14">
                    <c:v>0</c:v>
                  </c:pt>
                  <c:pt idx="15">
                    <c:v>6.318E-2</c:v>
                  </c:pt>
                  <c:pt idx="16">
                    <c:v>6.2920000000000004E-2</c:v>
                  </c:pt>
                  <c:pt idx="17">
                    <c:v>6.2140000000000001E-2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'1st bg284b'!$P$82:$P$90</c:f>
              <c:numCache>
                <c:formatCode>General</c:formatCode>
                <c:ptCount val="9"/>
                <c:pt idx="0">
                  <c:v>7.4291999999999918</c:v>
                </c:pt>
                <c:pt idx="1">
                  <c:v>7.3700000000000045</c:v>
                </c:pt>
                <c:pt idx="2">
                  <c:v>7.3917999999999893</c:v>
                </c:pt>
                <c:pt idx="3">
                  <c:v>7.4587999999999965</c:v>
                </c:pt>
                <c:pt idx="4">
                  <c:v>7.7327999999999975</c:v>
                </c:pt>
                <c:pt idx="5">
                  <c:v>7.9344000000000054</c:v>
                </c:pt>
                <c:pt idx="6">
                  <c:v>7.9243999999999915</c:v>
                </c:pt>
                <c:pt idx="7">
                  <c:v>7.9420000000000073</c:v>
                </c:pt>
                <c:pt idx="8">
                  <c:v>8.1144000000000016</c:v>
                </c:pt>
              </c:numCache>
            </c:numRef>
          </c:xVal>
          <c:yVal>
            <c:numRef>
              <c:f>'1st bg284b'!$R$82:$R$90</c:f>
              <c:numCache>
                <c:formatCode>General</c:formatCode>
                <c:ptCount val="9"/>
                <c:pt idx="0">
                  <c:v>-10.726999999999999</c:v>
                </c:pt>
                <c:pt idx="1">
                  <c:v>-10.882799999999998</c:v>
                </c:pt>
                <c:pt idx="2">
                  <c:v>-10.845000000000006</c:v>
                </c:pt>
                <c:pt idx="3">
                  <c:v>-10.697199999999999</c:v>
                </c:pt>
                <c:pt idx="4">
                  <c:v>-10.326399999999991</c:v>
                </c:pt>
                <c:pt idx="5">
                  <c:v>-10.198399999999992</c:v>
                </c:pt>
                <c:pt idx="6">
                  <c:v>-10.215799999999991</c:v>
                </c:pt>
                <c:pt idx="7">
                  <c:v>-10.303800000000003</c:v>
                </c:pt>
                <c:pt idx="8">
                  <c:v>-9.4799999999999951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'1st bg284b'!$B$82:$B$99</c15:f>
                <c15:dlblRangeCache>
                  <c:ptCount val="18"/>
                  <c:pt idx="0">
                    <c:v>3445</c:v>
                  </c:pt>
                  <c:pt idx="1">
                    <c:v>5000</c:v>
                  </c:pt>
                  <c:pt idx="2">
                    <c:v>10000</c:v>
                  </c:pt>
                  <c:pt idx="3">
                    <c:v>15000</c:v>
                  </c:pt>
                  <c:pt idx="4">
                    <c:v>20000</c:v>
                  </c:pt>
                  <c:pt idx="5">
                    <c:v>25000</c:v>
                  </c:pt>
                  <c:pt idx="6">
                    <c:v>30000</c:v>
                  </c:pt>
                  <c:pt idx="7">
                    <c:v>35000</c:v>
                  </c:pt>
                  <c:pt idx="8">
                    <c:v>40000</c:v>
                  </c:pt>
                  <c:pt idx="9">
                    <c:v>45000</c:v>
                  </c:pt>
                  <c:pt idx="10">
                    <c:v>50000</c:v>
                  </c:pt>
                  <c:pt idx="15">
                    <c:v>3445</c:v>
                  </c:pt>
                  <c:pt idx="16">
                    <c:v>5000</c:v>
                  </c:pt>
                  <c:pt idx="17">
                    <c:v>10000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DA6B-AB42-85A9-8D225C5D942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4957599"/>
        <c:axId val="1997796431"/>
      </c:scatterChart>
      <c:valAx>
        <c:axId val="2044957599"/>
        <c:scaling>
          <c:orientation val="minMax"/>
          <c:max val="9.8000000000000007"/>
          <c:min val="7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1997796431"/>
        <c:crosses val="autoZero"/>
        <c:crossBetween val="midCat"/>
      </c:valAx>
      <c:valAx>
        <c:axId val="1997796431"/>
        <c:scaling>
          <c:orientation val="minMax"/>
          <c:max val="-8.9"/>
          <c:min val="-11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2044957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0" i="0" u="none" strike="noStrike" kern="1200" baseline="0">
                <a:solidFill>
                  <a:srgbClr val="000000"/>
                </a:solidFill>
              </a:rPr>
              <a:t>1. Log Scale - MaNGA 1-26878 (bg284b)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C-Band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1"/>
              </a:solidFill>
            </c:spPr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0-16C5-8D44-ACE3-EE9671C952C8}"/>
              </c:ext>
            </c:extLst>
          </c:dPt>
          <c:dPt>
            <c:idx val="11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6C5-8D44-ACE3-EE9671C952C8}"/>
              </c:ext>
            </c:extLst>
          </c:dPt>
          <c:dPt>
            <c:idx val="20"/>
            <c:marker>
              <c:symbol val="square"/>
              <c:size val="5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6C5-8D44-ACE3-EE9671C952C8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'1st bg284b'!$I$26:$I$37</c:f>
                <c:numCache>
                  <c:formatCode>General</c:formatCode>
                  <c:ptCount val="12"/>
                  <c:pt idx="1">
                    <c:v>2.2886605694509288E-2</c:v>
                  </c:pt>
                  <c:pt idx="2">
                    <c:v>2.3871038901593311E-2</c:v>
                  </c:pt>
                  <c:pt idx="3">
                    <c:v>2.5400154256493085E-2</c:v>
                  </c:pt>
                  <c:pt idx="4">
                    <c:v>2.6795713343657046E-2</c:v>
                  </c:pt>
                  <c:pt idx="5">
                    <c:v>3.3701599592105877E-2</c:v>
                  </c:pt>
                  <c:pt idx="6">
                    <c:v>4.1034909402662245E-2</c:v>
                  </c:pt>
                  <c:pt idx="7">
                    <c:v>5.2416964442560221E-2</c:v>
                  </c:pt>
                  <c:pt idx="8">
                    <c:v>6.1267841659985167E-2</c:v>
                  </c:pt>
                  <c:pt idx="9">
                    <c:v>0.11243045280168773</c:v>
                  </c:pt>
                  <c:pt idx="11">
                    <c:v>0</c:v>
                  </c:pt>
                </c:numCache>
              </c:numRef>
            </c:plus>
            <c:minus>
              <c:numRef>
                <c:f>'1st bg284b'!$J$26:$J$37</c:f>
                <c:numCache>
                  <c:formatCode>General</c:formatCode>
                  <c:ptCount val="12"/>
                  <c:pt idx="1">
                    <c:v>2.4160115147953964E-2</c:v>
                  </c:pt>
                  <c:pt idx="2">
                    <c:v>2.5259817161853729E-2</c:v>
                  </c:pt>
                  <c:pt idx="3">
                    <c:v>2.6978496848079403E-2</c:v>
                  </c:pt>
                  <c:pt idx="4">
                    <c:v>2.8558342028497129E-2</c:v>
                  </c:pt>
                  <c:pt idx="5">
                    <c:v>3.6538564447667177E-2</c:v>
                  </c:pt>
                  <c:pt idx="6">
                    <c:v>4.5320608966200215E-2</c:v>
                  </c:pt>
                  <c:pt idx="7">
                    <c:v>5.9623086345494181E-2</c:v>
                  </c:pt>
                  <c:pt idx="8">
                    <c:v>7.1353445226386647E-2</c:v>
                  </c:pt>
                  <c:pt idx="9">
                    <c:v>0.15210619583994933</c:v>
                  </c:pt>
                  <c:pt idx="11">
                    <c:v>0</c:v>
                  </c:pt>
                </c:numCache>
              </c:numRef>
            </c:minus>
          </c:errBars>
          <c:xVal>
            <c:numRef>
              <c:f>'1st bg284b'!$B$26:$B$37</c:f>
              <c:numCache>
                <c:formatCode>General</c:formatCode>
                <c:ptCount val="12"/>
                <c:pt idx="0">
                  <c:v>3.0374264979406238</c:v>
                </c:pt>
                <c:pt idx="1">
                  <c:v>3.5371892262436444</c:v>
                </c:pt>
                <c:pt idx="2">
                  <c:v>3.6989700043360187</c:v>
                </c:pt>
                <c:pt idx="3">
                  <c:v>4</c:v>
                </c:pt>
                <c:pt idx="4">
                  <c:v>4.1760912590556813</c:v>
                </c:pt>
                <c:pt idx="5">
                  <c:v>4.3010299956639813</c:v>
                </c:pt>
                <c:pt idx="6">
                  <c:v>4.3979400086720375</c:v>
                </c:pt>
                <c:pt idx="7">
                  <c:v>4.4771212547196626</c:v>
                </c:pt>
                <c:pt idx="8">
                  <c:v>4.5440680443502757</c:v>
                </c:pt>
                <c:pt idx="9">
                  <c:v>4.6020599913279625</c:v>
                </c:pt>
                <c:pt idx="10">
                  <c:v>4.6334684555795862</c:v>
                </c:pt>
                <c:pt idx="11">
                  <c:v>4.653212513775344</c:v>
                </c:pt>
              </c:numCache>
            </c:numRef>
          </c:xVal>
          <c:yVal>
            <c:numRef>
              <c:f>'1st bg284b'!$H$26:$H$37</c:f>
              <c:numCache>
                <c:formatCode>General</c:formatCode>
                <c:ptCount val="12"/>
                <c:pt idx="1">
                  <c:v>0.14866433998223624</c:v>
                </c:pt>
                <c:pt idx="2">
                  <c:v>0.13890239993359355</c:v>
                </c:pt>
                <c:pt idx="3">
                  <c:v>0.12652102554341202</c:v>
                </c:pt>
                <c:pt idx="4">
                  <c:v>6.8408519778161647E-2</c:v>
                </c:pt>
                <c:pt idx="5">
                  <c:v>-0.14339797354279255</c:v>
                </c:pt>
                <c:pt idx="6">
                  <c:v>-0.33899230909896855</c:v>
                </c:pt>
                <c:pt idx="7">
                  <c:v>-0.42511256896490096</c:v>
                </c:pt>
                <c:pt idx="8">
                  <c:v>-0.50192389062783427</c:v>
                </c:pt>
                <c:pt idx="9">
                  <c:v>-0.75703640817851692</c:v>
                </c:pt>
                <c:pt idx="11">
                  <c:v>-1.1490476002065073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C5-8D44-ACE3-EE9671C952C8}"/>
            </c:ext>
          </c:extLst>
        </c:ser>
        <c:ser>
          <c:idx val="0"/>
          <c:order val="1"/>
          <c:tx>
            <c:v>L-Band</c:v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circle"/>
            <c:size val="7"/>
            <c:spPr>
              <a:ln>
                <a:noFill/>
              </a:ln>
            </c:spPr>
          </c:marker>
          <c:dPt>
            <c:idx val="0"/>
            <c:marker>
              <c:symbol val="square"/>
              <c:size val="7"/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spPr>
              <a:ln cap="flat">
                <a:solidFill>
                  <a:schemeClr val="accent4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6C5-8D44-ACE3-EE9671C952C8}"/>
              </c:ext>
            </c:extLst>
          </c:dPt>
          <c:dPt>
            <c:idx val="1"/>
            <c:marker>
              <c:symbol val="square"/>
              <c:size val="7"/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6C5-8D44-ACE3-EE9671C952C8}"/>
              </c:ext>
            </c:extLst>
          </c:dPt>
          <c:dPt>
            <c:idx val="2"/>
            <c:marker>
              <c:symbol val="square"/>
              <c:size val="7"/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6C5-8D44-ACE3-EE9671C952C8}"/>
              </c:ext>
            </c:extLst>
          </c:dPt>
          <c:dPt>
            <c:idx val="3"/>
            <c:marker>
              <c:symbol val="square"/>
              <c:size val="7"/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6C5-8D44-ACE3-EE9671C952C8}"/>
              </c:ext>
            </c:extLst>
          </c:dPt>
          <c:dPt>
            <c:idx val="4"/>
            <c:marker>
              <c:symbol val="square"/>
              <c:size val="7"/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16C5-8D44-ACE3-EE9671C952C8}"/>
              </c:ext>
            </c:extLst>
          </c:dPt>
          <c:dPt>
            <c:idx val="5"/>
            <c:marker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16C5-8D44-ACE3-EE9671C952C8}"/>
              </c:ext>
            </c:extLst>
          </c:dPt>
          <c:dPt>
            <c:idx val="6"/>
            <c:marker>
              <c:symbol val="square"/>
              <c:size val="7"/>
              <c:spPr>
                <a:solidFill>
                  <a:schemeClr val="accent5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6C5-8D44-ACE3-EE9671C952C8}"/>
              </c:ext>
            </c:extLst>
          </c:dPt>
          <c:dPt>
            <c:idx val="7"/>
            <c:marker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16C5-8D44-ACE3-EE9671C952C8}"/>
              </c:ext>
            </c:extLst>
          </c:dPt>
          <c:dPt>
            <c:idx val="8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16C5-8D44-ACE3-EE9671C952C8}"/>
              </c:ext>
            </c:extLst>
          </c:dPt>
          <c:dPt>
            <c:idx val="9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16C5-8D44-ACE3-EE9671C952C8}"/>
              </c:ext>
            </c:extLst>
          </c:dPt>
          <c:dPt>
            <c:idx val="1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16C5-8D44-ACE3-EE9671C952C8}"/>
              </c:ext>
            </c:extLst>
          </c:dPt>
          <c:dPt>
            <c:idx val="11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16C5-8D44-ACE3-EE9671C952C8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'1st bg284b'!$D$26:$D$35</c:f>
                <c:numCache>
                  <c:formatCode>General</c:formatCode>
                  <c:ptCount val="10"/>
                  <c:pt idx="0">
                    <c:v>9.3739838677570075E-3</c:v>
                  </c:pt>
                  <c:pt idx="2">
                    <c:v>1.3710602817837814E-2</c:v>
                  </c:pt>
                  <c:pt idx="3">
                    <c:v>2.1758648295121669E-2</c:v>
                  </c:pt>
                  <c:pt idx="4">
                    <c:v>4.1993507686936625E-2</c:v>
                  </c:pt>
                  <c:pt idx="5">
                    <c:v>6.0573185117637263E-2</c:v>
                  </c:pt>
                  <c:pt idx="6">
                    <c:v>0.13433699963287074</c:v>
                  </c:pt>
                  <c:pt idx="7">
                    <c:v>0.11857075476554091</c:v>
                  </c:pt>
                  <c:pt idx="9">
                    <c:v>0</c:v>
                  </c:pt>
                </c:numCache>
              </c:numRef>
            </c:plus>
            <c:minus>
              <c:numRef>
                <c:f>'1st bg284b'!$E$26:$E$35</c:f>
                <c:numCache>
                  <c:formatCode>General</c:formatCode>
                  <c:ptCount val="10"/>
                  <c:pt idx="0">
                    <c:v>9.5807875821326549E-3</c:v>
                  </c:pt>
                  <c:pt idx="2">
                    <c:v>1.4157593981275141E-2</c:v>
                  </c:pt>
                  <c:pt idx="3">
                    <c:v>2.2906545044779236E-2</c:v>
                  </c:pt>
                  <c:pt idx="4">
                    <c:v>4.6492959799786349E-2</c:v>
                  </c:pt>
                  <c:pt idx="5">
                    <c:v>7.0412480014303391E-2</c:v>
                  </c:pt>
                  <c:pt idx="6">
                    <c:v>0.19552085533853283</c:v>
                  </c:pt>
                  <c:pt idx="7">
                    <c:v>0.16362874803811178</c:v>
                  </c:pt>
                  <c:pt idx="9">
                    <c:v>0</c:v>
                  </c:pt>
                </c:numCache>
              </c:numRef>
            </c:minus>
          </c:errBars>
          <c:xVal>
            <c:numRef>
              <c:f>'1st bg284b'!$B$26:$B$35</c:f>
              <c:numCache>
                <c:formatCode>General</c:formatCode>
                <c:ptCount val="10"/>
                <c:pt idx="0">
                  <c:v>3.0374264979406238</c:v>
                </c:pt>
                <c:pt idx="1">
                  <c:v>3.5371892262436444</c:v>
                </c:pt>
                <c:pt idx="2">
                  <c:v>3.6989700043360187</c:v>
                </c:pt>
                <c:pt idx="3">
                  <c:v>4</c:v>
                </c:pt>
                <c:pt idx="4">
                  <c:v>4.1760912590556813</c:v>
                </c:pt>
                <c:pt idx="5">
                  <c:v>4.3010299956639813</c:v>
                </c:pt>
                <c:pt idx="6">
                  <c:v>4.3979400086720375</c:v>
                </c:pt>
                <c:pt idx="7">
                  <c:v>4.4771212547196626</c:v>
                </c:pt>
                <c:pt idx="8">
                  <c:v>4.5440680443502757</c:v>
                </c:pt>
                <c:pt idx="9">
                  <c:v>4.6020599913279625</c:v>
                </c:pt>
              </c:numCache>
            </c:numRef>
          </c:xVal>
          <c:yVal>
            <c:numRef>
              <c:f>'1st bg284b'!$C$26:$C$35</c:f>
              <c:numCache>
                <c:formatCode>General</c:formatCode>
                <c:ptCount val="10"/>
                <c:pt idx="0">
                  <c:v>0.5385360329967358</c:v>
                </c:pt>
                <c:pt idx="2">
                  <c:v>0.41554090051285558</c:v>
                </c:pt>
                <c:pt idx="3">
                  <c:v>0.23567991856469214</c:v>
                </c:pt>
                <c:pt idx="4">
                  <c:v>5.7894219724530148E-2</c:v>
                </c:pt>
                <c:pt idx="5">
                  <c:v>-0.30239582581447066</c:v>
                </c:pt>
                <c:pt idx="6">
                  <c:v>-0.1344282110516046</c:v>
                </c:pt>
                <c:pt idx="7">
                  <c:v>-0.38961668141723871</c:v>
                </c:pt>
                <c:pt idx="9">
                  <c:v>-0.23957751657678791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6C5-8D44-ACE3-EE9671C95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09363"/>
        <c:axId val="904966794"/>
      </c:scatterChart>
      <c:valAx>
        <c:axId val="49509363"/>
        <c:scaling>
          <c:orientation val="minMax"/>
          <c:max val="4.7"/>
          <c:min val="3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b_min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E"/>
          </a:p>
        </c:txPr>
        <c:crossAx val="904966794"/>
        <c:crosses val="autoZero"/>
        <c:crossBetween val="midCat"/>
        <c:majorUnit val="0.1"/>
      </c:valAx>
      <c:valAx>
        <c:axId val="904966794"/>
        <c:scaling>
          <c:orientation val="minMax"/>
          <c:max val="0.6"/>
          <c:min val="-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Flux milliJy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E"/>
          </a:p>
        </c:txPr>
        <c:crossAx val="49509363"/>
        <c:crosses val="autoZero"/>
        <c:crossBetween val="midCat"/>
        <c:majorUnit val="0.25"/>
      </c:valAx>
    </c:plotArea>
    <c:legend>
      <c:legendPos val="b"/>
      <c:overlay val="0"/>
    </c:legend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0" i="0" u="none" strike="noStrike" kern="1200" baseline="0">
                <a:solidFill>
                  <a:srgbClr val="000000"/>
                </a:solidFill>
              </a:rPr>
              <a:t>2. MaNGA 1-27393 (bg284d)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C-Band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circle"/>
            <c:size val="7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0-8EFB-E249-B26B-EDE6BC7F46B8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1-8EFB-E249-B26B-EDE6BC7F46B8}"/>
              </c:ext>
            </c:extLst>
          </c:dPt>
          <c:dPt>
            <c:idx val="18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71A-DB46-AE5B-7A7773D8893E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02-8EFB-E249-B26B-EDE6BC7F46B8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'2nd bg284d'!$D$4:$D$22</c:f>
                <c:numCache>
                  <c:formatCode>General</c:formatCode>
                  <c:ptCount val="19"/>
                  <c:pt idx="0">
                    <c:v>1.52E-2</c:v>
                  </c:pt>
                  <c:pt idx="1">
                    <c:v>1.5800000000000002E-2</c:v>
                  </c:pt>
                  <c:pt idx="2">
                    <c:v>1.6399999999999998E-2</c:v>
                  </c:pt>
                  <c:pt idx="3">
                    <c:v>1.6500000000000001E-2</c:v>
                  </c:pt>
                  <c:pt idx="4">
                    <c:v>1.7299999999999999E-2</c:v>
                  </c:pt>
                  <c:pt idx="5">
                    <c:v>1.83E-2</c:v>
                  </c:pt>
                  <c:pt idx="6">
                    <c:v>1.9800000000000002E-2</c:v>
                  </c:pt>
                  <c:pt idx="7">
                    <c:v>1.9899999999999998E-2</c:v>
                  </c:pt>
                  <c:pt idx="8">
                    <c:v>2.1299999999999999E-2</c:v>
                  </c:pt>
                  <c:pt idx="9">
                    <c:v>2.1600000000000001E-2</c:v>
                  </c:pt>
                  <c:pt idx="10">
                    <c:v>2.29E-2</c:v>
                  </c:pt>
                  <c:pt idx="11">
                    <c:v>2.3900000000000001E-2</c:v>
                  </c:pt>
                  <c:pt idx="12">
                    <c:v>2.5700000000000001E-2</c:v>
                  </c:pt>
                  <c:pt idx="13">
                    <c:v>2.8199999999999999E-2</c:v>
                  </c:pt>
                  <c:pt idx="14">
                    <c:v>3.1199999999999999E-2</c:v>
                  </c:pt>
                  <c:pt idx="15">
                    <c:v>3.4100000000000005E-2</c:v>
                  </c:pt>
                  <c:pt idx="16">
                    <c:v>3.9600000000000003E-2</c:v>
                  </c:pt>
                  <c:pt idx="17">
                    <c:v>4.4299999999999999E-2</c:v>
                  </c:pt>
                  <c:pt idx="18">
                    <c:v>0</c:v>
                  </c:pt>
                </c:numCache>
              </c:numRef>
            </c:plus>
            <c:minus>
              <c:numRef>
                <c:f>'2nd bg284d'!$D$4:$D$22</c:f>
                <c:numCache>
                  <c:formatCode>General</c:formatCode>
                  <c:ptCount val="19"/>
                  <c:pt idx="0">
                    <c:v>1.52E-2</c:v>
                  </c:pt>
                  <c:pt idx="1">
                    <c:v>1.5800000000000002E-2</c:v>
                  </c:pt>
                  <c:pt idx="2">
                    <c:v>1.6399999999999998E-2</c:v>
                  </c:pt>
                  <c:pt idx="3">
                    <c:v>1.6500000000000001E-2</c:v>
                  </c:pt>
                  <c:pt idx="4">
                    <c:v>1.7299999999999999E-2</c:v>
                  </c:pt>
                  <c:pt idx="5">
                    <c:v>1.83E-2</c:v>
                  </c:pt>
                  <c:pt idx="6">
                    <c:v>1.9800000000000002E-2</c:v>
                  </c:pt>
                  <c:pt idx="7">
                    <c:v>1.9899999999999998E-2</c:v>
                  </c:pt>
                  <c:pt idx="8">
                    <c:v>2.1299999999999999E-2</c:v>
                  </c:pt>
                  <c:pt idx="9">
                    <c:v>2.1600000000000001E-2</c:v>
                  </c:pt>
                  <c:pt idx="10">
                    <c:v>2.29E-2</c:v>
                  </c:pt>
                  <c:pt idx="11">
                    <c:v>2.3900000000000001E-2</c:v>
                  </c:pt>
                  <c:pt idx="12">
                    <c:v>2.5700000000000001E-2</c:v>
                  </c:pt>
                  <c:pt idx="13">
                    <c:v>2.8199999999999999E-2</c:v>
                  </c:pt>
                  <c:pt idx="14">
                    <c:v>3.1199999999999999E-2</c:v>
                  </c:pt>
                  <c:pt idx="15">
                    <c:v>3.4100000000000005E-2</c:v>
                  </c:pt>
                  <c:pt idx="16">
                    <c:v>3.9600000000000003E-2</c:v>
                  </c:pt>
                  <c:pt idx="17">
                    <c:v>4.4299999999999999E-2</c:v>
                  </c:pt>
                  <c:pt idx="18">
                    <c:v>0</c:v>
                  </c:pt>
                </c:numCache>
              </c:numRef>
            </c:minus>
          </c:errBars>
          <c:xVal>
            <c:numRef>
              <c:f>'2nd bg284d'!$B$4:$B$22</c:f>
              <c:numCache>
                <c:formatCode>General</c:formatCode>
                <c:ptCount val="19"/>
                <c:pt idx="0">
                  <c:v>3550</c:v>
                </c:pt>
                <c:pt idx="1">
                  <c:v>5000</c:v>
                </c:pt>
                <c:pt idx="2">
                  <c:v>10000</c:v>
                </c:pt>
                <c:pt idx="3">
                  <c:v>14000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34000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</c:numCache>
            </c:numRef>
          </c:xVal>
          <c:yVal>
            <c:numRef>
              <c:f>'2nd bg284d'!$C$4:$C$22</c:f>
              <c:numCache>
                <c:formatCode>General</c:formatCode>
                <c:ptCount val="19"/>
                <c:pt idx="0">
                  <c:v>0.21149999999999999</c:v>
                </c:pt>
                <c:pt idx="1">
                  <c:v>0.21054</c:v>
                </c:pt>
                <c:pt idx="2">
                  <c:v>0.21342999999999998</c:v>
                </c:pt>
                <c:pt idx="3">
                  <c:v>0.21319000000000002</c:v>
                </c:pt>
                <c:pt idx="4">
                  <c:v>0.21281</c:v>
                </c:pt>
                <c:pt idx="5">
                  <c:v>0.21723000000000001</c:v>
                </c:pt>
                <c:pt idx="6">
                  <c:v>0.22910000000000003</c:v>
                </c:pt>
                <c:pt idx="7">
                  <c:v>0.23097999999999999</c:v>
                </c:pt>
                <c:pt idx="8">
                  <c:v>0.22039999999999998</c:v>
                </c:pt>
                <c:pt idx="9">
                  <c:v>0.24651000000000003</c:v>
                </c:pt>
                <c:pt idx="10">
                  <c:v>0.24829000000000001</c:v>
                </c:pt>
                <c:pt idx="11">
                  <c:v>0.25514999999999999</c:v>
                </c:pt>
                <c:pt idx="12">
                  <c:v>0.23882999999999999</c:v>
                </c:pt>
                <c:pt idx="13">
                  <c:v>0.23688000000000001</c:v>
                </c:pt>
                <c:pt idx="14">
                  <c:v>0.20787999999999998</c:v>
                </c:pt>
                <c:pt idx="15">
                  <c:v>0.20247000000000001</c:v>
                </c:pt>
                <c:pt idx="16">
                  <c:v>0.18506</c:v>
                </c:pt>
                <c:pt idx="17">
                  <c:v>0.14245999999999998</c:v>
                </c:pt>
                <c:pt idx="18" formatCode="0.00E+00">
                  <c:v>0.14301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FB-E249-B26B-EDE6BC7F46B8}"/>
            </c:ext>
          </c:extLst>
        </c:ser>
        <c:ser>
          <c:idx val="3"/>
          <c:order val="1"/>
          <c:tx>
            <c:v>C-Band RMS</c:v>
          </c:tx>
          <c:spPr>
            <a:ln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ymbol val="diamond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'2nd bg284d'!$B$4:$B$22</c:f>
              <c:numCache>
                <c:formatCode>General</c:formatCode>
                <c:ptCount val="19"/>
                <c:pt idx="0">
                  <c:v>3550</c:v>
                </c:pt>
                <c:pt idx="1">
                  <c:v>5000</c:v>
                </c:pt>
                <c:pt idx="2">
                  <c:v>10000</c:v>
                </c:pt>
                <c:pt idx="3">
                  <c:v>14000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34000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</c:numCache>
            </c:numRef>
          </c:xVal>
          <c:yVal>
            <c:numRef>
              <c:f>'2nd bg284d'!$F$4:$F$22</c:f>
              <c:numCache>
                <c:formatCode>0.00E+00</c:formatCode>
                <c:ptCount val="19"/>
                <c:pt idx="0">
                  <c:v>1.447E-2</c:v>
                </c:pt>
                <c:pt idx="1">
                  <c:v>1.5760000000000003E-2</c:v>
                </c:pt>
                <c:pt idx="2">
                  <c:v>1.6310000000000002E-2</c:v>
                </c:pt>
                <c:pt idx="3">
                  <c:v>1.6639999999999999E-2</c:v>
                </c:pt>
                <c:pt idx="4">
                  <c:v>1.7319999999999999E-2</c:v>
                </c:pt>
                <c:pt idx="5">
                  <c:v>1.8720000000000001E-2</c:v>
                </c:pt>
                <c:pt idx="6">
                  <c:v>2.0210000000000002E-2</c:v>
                </c:pt>
                <c:pt idx="7">
                  <c:v>1.983E-2</c:v>
                </c:pt>
                <c:pt idx="8">
                  <c:v>2.1729999999999999E-2</c:v>
                </c:pt>
                <c:pt idx="9">
                  <c:v>2.1239999999999998E-2</c:v>
                </c:pt>
                <c:pt idx="10">
                  <c:v>2.2790000000000001E-2</c:v>
                </c:pt>
                <c:pt idx="11">
                  <c:v>2.2249999999999999E-2</c:v>
                </c:pt>
                <c:pt idx="12">
                  <c:v>2.41E-2</c:v>
                </c:pt>
                <c:pt idx="13">
                  <c:v>2.6800000000000001E-2</c:v>
                </c:pt>
                <c:pt idx="14">
                  <c:v>2.9929999999999998E-2</c:v>
                </c:pt>
                <c:pt idx="15">
                  <c:v>3.0369999999999998E-2</c:v>
                </c:pt>
                <c:pt idx="16">
                  <c:v>3.8960000000000002E-2</c:v>
                </c:pt>
                <c:pt idx="17">
                  <c:v>4.2939999999999999E-2</c:v>
                </c:pt>
                <c:pt idx="18">
                  <c:v>4.7670000000000004E-2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EFB-E249-B26B-EDE6BC7F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09363"/>
        <c:axId val="904966794"/>
      </c:scatterChart>
      <c:valAx>
        <c:axId val="49509363"/>
        <c:scaling>
          <c:orientation val="minMax"/>
          <c:max val="91000"/>
          <c:min val="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b_min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E"/>
          </a:p>
        </c:txPr>
        <c:crossAx val="904966794"/>
        <c:crosses val="autoZero"/>
        <c:crossBetween val="midCat"/>
        <c:majorUnit val="10000"/>
      </c:valAx>
      <c:valAx>
        <c:axId val="904966794"/>
        <c:scaling>
          <c:orientation val="minMax"/>
          <c:max val="0.3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Flux milliJy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E"/>
          </a:p>
        </c:txPr>
        <c:crossAx val="49509363"/>
        <c:crosses val="autoZero"/>
        <c:crossBetween val="midCat"/>
        <c:majorUnit val="0.05"/>
      </c:valAx>
    </c:plotArea>
    <c:legend>
      <c:legendPos val="b"/>
      <c:overlay val="0"/>
    </c:legend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/>
                </a:solidFill>
              </a:rPr>
              <a:t>2. MaNGA </a:t>
            </a:r>
            <a:r>
              <a:rPr lang="en-US"/>
              <a:t>X vs Y</a:t>
            </a:r>
            <a:r>
              <a:rPr lang="en-US" baseline="0"/>
              <a:t> positions C-Band (Zoom)</a:t>
            </a:r>
          </a:p>
        </c:rich>
      </c:tx>
      <c:layout>
        <c:manualLayout>
          <c:xMode val="edge"/>
          <c:yMode val="edge"/>
          <c:x val="0.32817734733107634"/>
          <c:y val="2.30563365633817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bg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9696A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259-674F-BE04-7C232B1DD12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86D6B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259-674F-BE04-7C232B1DD12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97E6E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259-674F-BE04-7C232B1DD12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A8E72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259-674F-BE04-7C232B1DD12C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A9F76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259-674F-BE04-7C232B1DD12C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CB078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259-674F-BE04-7C232B1DD12C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FDC17B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259-674F-BE04-7C232B1DD12C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FED27E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259-674F-BE04-7C232B1DD12C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FEE282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259-674F-BE04-7C232B1DD12C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7E984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259-674F-BE04-7C232B1DD12C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E4E483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259-674F-BE04-7C232B1DD12C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D2DF82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259-674F-BE04-7C232B1DD12C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BFD98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259-674F-BE04-7C232B1DD12C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ADD480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D259-674F-BE04-7C232B1DD12C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9CCF7F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D259-674F-BE04-7C232B1DD12C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88C97D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D259-674F-BE04-7C232B1DD12C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rgbClr val="76C47D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D259-674F-BE04-7C232B1DD12C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rgbClr val="63BE7B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D259-674F-BE04-7C232B1DD12C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rgbClr val="5BAC73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D259-674F-BE04-7C232B1DD12C}"/>
              </c:ext>
            </c:extLst>
          </c:dPt>
          <c:dLbls>
            <c:dLbl>
              <c:idx val="0"/>
              <c:layout>
                <c:manualLayout>
                  <c:x val="6.7919367576353834E-2"/>
                  <c:y val="-0.11467635672535702"/>
                </c:manualLayout>
              </c:layout>
              <c:tx>
                <c:rich>
                  <a:bodyPr/>
                  <a:lstStyle/>
                  <a:p>
                    <a:fld id="{DE7B6F31-EBBB-B849-8383-26DD9E228C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259-674F-BE04-7C232B1DD12C}"/>
                </c:ext>
              </c:extLst>
            </c:dLbl>
            <c:dLbl>
              <c:idx val="1"/>
              <c:layout>
                <c:manualLayout>
                  <c:x val="-0.12639012026579061"/>
                  <c:y val="-0.12977994295826026"/>
                </c:manualLayout>
              </c:layout>
              <c:tx>
                <c:rich>
                  <a:bodyPr/>
                  <a:lstStyle/>
                  <a:p>
                    <a:fld id="{E677AA5A-D370-624D-BF66-40C356A505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259-674F-BE04-7C232B1DD12C}"/>
                </c:ext>
              </c:extLst>
            </c:dLbl>
            <c:dLbl>
              <c:idx val="2"/>
              <c:layout>
                <c:manualLayout>
                  <c:x val="9.2195124819819244E-2"/>
                  <c:y val="-0.20673130913049084"/>
                </c:manualLayout>
              </c:layout>
              <c:tx>
                <c:rich>
                  <a:bodyPr/>
                  <a:lstStyle/>
                  <a:p>
                    <a:fld id="{BDD0DC96-41BE-F947-AFD5-616D242DA3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259-674F-BE04-7C232B1DD12C}"/>
                </c:ext>
              </c:extLst>
            </c:dLbl>
            <c:dLbl>
              <c:idx val="3"/>
              <c:layout>
                <c:manualLayout>
                  <c:x val="8.6221788977417349E-2"/>
                  <c:y val="-0.14221013529582788"/>
                </c:manualLayout>
              </c:layout>
              <c:tx>
                <c:rich>
                  <a:bodyPr/>
                  <a:lstStyle/>
                  <a:p>
                    <a:fld id="{77F98E24-2AE0-D346-9136-E9760AE316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259-674F-BE04-7C232B1DD12C}"/>
                </c:ext>
              </c:extLst>
            </c:dLbl>
            <c:dLbl>
              <c:idx val="4"/>
              <c:layout>
                <c:manualLayout>
                  <c:x val="-0.14877646585931398"/>
                  <c:y val="-0.17644166292984576"/>
                </c:manualLayout>
              </c:layout>
              <c:tx>
                <c:rich>
                  <a:bodyPr/>
                  <a:lstStyle/>
                  <a:p>
                    <a:fld id="{FC23FC47-C796-9642-85F9-8B73370930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259-674F-BE04-7C232B1DD12C}"/>
                </c:ext>
              </c:extLst>
            </c:dLbl>
            <c:dLbl>
              <c:idx val="5"/>
              <c:layout>
                <c:manualLayout>
                  <c:x val="0.1526962513062779"/>
                  <c:y val="-5.0356698903177191E-2"/>
                </c:manualLayout>
              </c:layout>
              <c:tx>
                <c:rich>
                  <a:bodyPr/>
                  <a:lstStyle/>
                  <a:p>
                    <a:fld id="{BB3082EA-3D60-474A-8DFF-1FD738BD72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259-674F-BE04-7C232B1DD12C}"/>
                </c:ext>
              </c:extLst>
            </c:dLbl>
            <c:dLbl>
              <c:idx val="6"/>
              <c:layout>
                <c:manualLayout>
                  <c:x val="0.13108822431626441"/>
                  <c:y val="-0.14902433312334518"/>
                </c:manualLayout>
              </c:layout>
              <c:tx>
                <c:rich>
                  <a:bodyPr/>
                  <a:lstStyle/>
                  <a:p>
                    <a:fld id="{EDBAA375-7100-8949-B9FF-581D4D6A09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259-674F-BE04-7C232B1DD12C}"/>
                </c:ext>
              </c:extLst>
            </c:dLbl>
            <c:dLbl>
              <c:idx val="7"/>
              <c:layout>
                <c:manualLayout>
                  <c:x val="-0.17475345461036168"/>
                  <c:y val="-0.1291943275706324"/>
                </c:manualLayout>
              </c:layout>
              <c:tx>
                <c:rich>
                  <a:bodyPr/>
                  <a:lstStyle/>
                  <a:p>
                    <a:fld id="{5E3554D5-20FD-A14A-BD9A-9C1BB0FC79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259-674F-BE04-7C232B1DD12C}"/>
                </c:ext>
              </c:extLst>
            </c:dLbl>
            <c:dLbl>
              <c:idx val="8"/>
              <c:layout>
                <c:manualLayout>
                  <c:x val="-0.23451811873821063"/>
                  <c:y val="0.22510453805242153"/>
                </c:manualLayout>
              </c:layout>
              <c:tx>
                <c:rich>
                  <a:bodyPr/>
                  <a:lstStyle/>
                  <a:p>
                    <a:fld id="{F36F3B14-2F5F-F14B-8613-53EFBB9F60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259-674F-BE04-7C232B1DD12C}"/>
                </c:ext>
              </c:extLst>
            </c:dLbl>
            <c:dLbl>
              <c:idx val="9"/>
              <c:layout>
                <c:manualLayout>
                  <c:x val="-0.36833261731069405"/>
                  <c:y val="7.1483683867448883E-2"/>
                </c:manualLayout>
              </c:layout>
              <c:tx>
                <c:rich>
                  <a:bodyPr/>
                  <a:lstStyle/>
                  <a:p>
                    <a:fld id="{2B3C9FF4-6BE4-D346-B519-C3A53261A9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259-674F-BE04-7C232B1DD12C}"/>
                </c:ext>
              </c:extLst>
            </c:dLbl>
            <c:dLbl>
              <c:idx val="10"/>
              <c:layout>
                <c:manualLayout>
                  <c:x val="-1.5181190841300065E-2"/>
                  <c:y val="0.26616193432549062"/>
                </c:manualLayout>
              </c:layout>
              <c:tx>
                <c:rich>
                  <a:bodyPr/>
                  <a:lstStyle/>
                  <a:p>
                    <a:fld id="{C7A6B99B-AF89-864F-8B98-CF63D1A37A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259-674F-BE04-7C232B1DD12C}"/>
                </c:ext>
              </c:extLst>
            </c:dLbl>
            <c:dLbl>
              <c:idx val="11"/>
              <c:layout>
                <c:manualLayout>
                  <c:x val="-0.3507586184948564"/>
                  <c:y val="2.2733962813682236E-2"/>
                </c:manualLayout>
              </c:layout>
              <c:tx>
                <c:rich>
                  <a:bodyPr/>
                  <a:lstStyle/>
                  <a:p>
                    <a:fld id="{1127E75B-0330-F043-B5C4-7219A9B9B4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259-674F-BE04-7C232B1DD12C}"/>
                </c:ext>
              </c:extLst>
            </c:dLbl>
            <c:dLbl>
              <c:idx val="12"/>
              <c:layout>
                <c:manualLayout>
                  <c:x val="6.2408180024747073E-2"/>
                  <c:y val="-3.1269994369481753E-2"/>
                </c:manualLayout>
              </c:layout>
              <c:tx>
                <c:rich>
                  <a:bodyPr/>
                  <a:lstStyle/>
                  <a:p>
                    <a:fld id="{2D19E491-3B7B-B846-97AB-04FC608467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259-674F-BE04-7C232B1DD12C}"/>
                </c:ext>
              </c:extLst>
            </c:dLbl>
            <c:dLbl>
              <c:idx val="13"/>
              <c:layout>
                <c:manualLayout>
                  <c:x val="-0.28252602092051227"/>
                  <c:y val="8.4942759856454202E-3"/>
                </c:manualLayout>
              </c:layout>
              <c:tx>
                <c:rich>
                  <a:bodyPr/>
                  <a:lstStyle/>
                  <a:p>
                    <a:fld id="{3295AA6E-55C1-DE4E-8ACA-179C713AFD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259-674F-BE04-7C232B1DD12C}"/>
                </c:ext>
              </c:extLst>
            </c:dLbl>
            <c:dLbl>
              <c:idx val="14"/>
              <c:layout>
                <c:manualLayout>
                  <c:x val="5.6549170537214645E-3"/>
                  <c:y val="7.2263590206166309E-2"/>
                </c:manualLayout>
              </c:layout>
              <c:tx>
                <c:rich>
                  <a:bodyPr/>
                  <a:lstStyle/>
                  <a:p>
                    <a:fld id="{2DDE9E21-AAF6-2149-95D3-BE641D86EA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259-674F-BE04-7C232B1DD12C}"/>
                </c:ext>
              </c:extLst>
            </c:dLbl>
            <c:dLbl>
              <c:idx val="15"/>
              <c:layout>
                <c:manualLayout>
                  <c:x val="-0.11482932164863796"/>
                  <c:y val="-7.0037836770992484E-2"/>
                </c:manualLayout>
              </c:layout>
              <c:tx>
                <c:rich>
                  <a:bodyPr/>
                  <a:lstStyle/>
                  <a:p>
                    <a:fld id="{6F4CC34B-88CF-7847-A80B-C3B578535C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D259-674F-BE04-7C232B1DD12C}"/>
                </c:ext>
              </c:extLst>
            </c:dLbl>
            <c:dLbl>
              <c:idx val="16"/>
              <c:layout>
                <c:manualLayout>
                  <c:x val="-0.16152255722976688"/>
                  <c:y val="6.5943197382210911E-2"/>
                </c:manualLayout>
              </c:layout>
              <c:tx>
                <c:rich>
                  <a:bodyPr/>
                  <a:lstStyle/>
                  <a:p>
                    <a:fld id="{2146C603-8B18-C442-ACE3-A4A321F6B8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259-674F-BE04-7C232B1DD12C}"/>
                </c:ext>
              </c:extLst>
            </c:dLbl>
            <c:dLbl>
              <c:idx val="17"/>
              <c:layout>
                <c:manualLayout>
                  <c:x val="-0.18589775212880527"/>
                  <c:y val="3.2335080179359627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1-D259-674F-BE04-7C232B1DD12C}"/>
                </c:ext>
              </c:extLst>
            </c:dLbl>
            <c:dLbl>
              <c:idx val="18"/>
              <c:layout>
                <c:manualLayout>
                  <c:x val="-8.2846458722207486E-2"/>
                  <c:y val="-0.2466300545585384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3-D259-674F-BE04-7C232B1DD1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E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'2nd bg284d'!$Q$51:$Q$68</c:f>
                <c:numCache>
                  <c:formatCode>General</c:formatCode>
                  <c:ptCount val="18"/>
                  <c:pt idx="0">
                    <c:v>4.2580000000000007E-2</c:v>
                  </c:pt>
                  <c:pt idx="1">
                    <c:v>4.3280000000000006E-2</c:v>
                  </c:pt>
                  <c:pt idx="2">
                    <c:v>4.2120000000000005E-2</c:v>
                  </c:pt>
                  <c:pt idx="3">
                    <c:v>4.1580000000000006E-2</c:v>
                  </c:pt>
                  <c:pt idx="4">
                    <c:v>4.1399999999999999E-2</c:v>
                  </c:pt>
                  <c:pt idx="5">
                    <c:v>4.0460000000000003E-2</c:v>
                  </c:pt>
                  <c:pt idx="6">
                    <c:v>3.8679999999999999E-2</c:v>
                  </c:pt>
                  <c:pt idx="7">
                    <c:v>3.7940000000000002E-2</c:v>
                  </c:pt>
                  <c:pt idx="8">
                    <c:v>4.0480000000000002E-2</c:v>
                  </c:pt>
                  <c:pt idx="9">
                    <c:v>3.7319999999999999E-2</c:v>
                  </c:pt>
                  <c:pt idx="10">
                    <c:v>3.73E-2</c:v>
                  </c:pt>
                  <c:pt idx="11">
                    <c:v>3.6720000000000003E-2</c:v>
                  </c:pt>
                  <c:pt idx="12">
                    <c:v>4.138E-2</c:v>
                  </c:pt>
                  <c:pt idx="13">
                    <c:v>4.3819999999999998E-2</c:v>
                  </c:pt>
                  <c:pt idx="14">
                    <c:v>4.8120000000000003E-2</c:v>
                  </c:pt>
                  <c:pt idx="15">
                    <c:v>5.510000000000001E-2</c:v>
                  </c:pt>
                  <c:pt idx="16">
                    <c:v>5.9680000000000004E-2</c:v>
                  </c:pt>
                  <c:pt idx="17">
                    <c:v>0.10342000000000001</c:v>
                  </c:pt>
                </c:numCache>
              </c:numRef>
            </c:plus>
            <c:minus>
              <c:numRef>
                <c:f>'2nd bg284d'!$Q$51:$Q$68</c:f>
                <c:numCache>
                  <c:formatCode>General</c:formatCode>
                  <c:ptCount val="18"/>
                  <c:pt idx="0">
                    <c:v>4.2580000000000007E-2</c:v>
                  </c:pt>
                  <c:pt idx="1">
                    <c:v>4.3280000000000006E-2</c:v>
                  </c:pt>
                  <c:pt idx="2">
                    <c:v>4.2120000000000005E-2</c:v>
                  </c:pt>
                  <c:pt idx="3">
                    <c:v>4.1580000000000006E-2</c:v>
                  </c:pt>
                  <c:pt idx="4">
                    <c:v>4.1399999999999999E-2</c:v>
                  </c:pt>
                  <c:pt idx="5">
                    <c:v>4.0460000000000003E-2</c:v>
                  </c:pt>
                  <c:pt idx="6">
                    <c:v>3.8679999999999999E-2</c:v>
                  </c:pt>
                  <c:pt idx="7">
                    <c:v>3.7940000000000002E-2</c:v>
                  </c:pt>
                  <c:pt idx="8">
                    <c:v>4.0480000000000002E-2</c:v>
                  </c:pt>
                  <c:pt idx="9">
                    <c:v>3.7319999999999999E-2</c:v>
                  </c:pt>
                  <c:pt idx="10">
                    <c:v>3.73E-2</c:v>
                  </c:pt>
                  <c:pt idx="11">
                    <c:v>3.6720000000000003E-2</c:v>
                  </c:pt>
                  <c:pt idx="12">
                    <c:v>4.138E-2</c:v>
                  </c:pt>
                  <c:pt idx="13">
                    <c:v>4.3819999999999998E-2</c:v>
                  </c:pt>
                  <c:pt idx="14">
                    <c:v>4.8120000000000003E-2</c:v>
                  </c:pt>
                  <c:pt idx="15">
                    <c:v>5.510000000000001E-2</c:v>
                  </c:pt>
                  <c:pt idx="16">
                    <c:v>5.9680000000000004E-2</c:v>
                  </c:pt>
                  <c:pt idx="17">
                    <c:v>0.10342000000000001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'2nd bg284d'!$S$51:$S$68</c:f>
                <c:numCache>
                  <c:formatCode>General</c:formatCode>
                  <c:ptCount val="18"/>
                  <c:pt idx="0">
                    <c:v>0.12565999999999999</c:v>
                  </c:pt>
                  <c:pt idx="1">
                    <c:v>0.12960000000000002</c:v>
                  </c:pt>
                  <c:pt idx="2">
                    <c:v>0.12465999999999999</c:v>
                  </c:pt>
                  <c:pt idx="3">
                    <c:v>0.12228000000000001</c:v>
                  </c:pt>
                  <c:pt idx="4">
                    <c:v>0.11994</c:v>
                  </c:pt>
                  <c:pt idx="5">
                    <c:v>0.11802</c:v>
                  </c:pt>
                  <c:pt idx="6">
                    <c:v>0.12162000000000001</c:v>
                  </c:pt>
                  <c:pt idx="7">
                    <c:v>0.12096000000000001</c:v>
                  </c:pt>
                  <c:pt idx="8">
                    <c:v>0.1206</c:v>
                  </c:pt>
                  <c:pt idx="9">
                    <c:v>0.10828</c:v>
                  </c:pt>
                  <c:pt idx="10">
                    <c:v>0.11598</c:v>
                  </c:pt>
                  <c:pt idx="11">
                    <c:v>0.10996</c:v>
                  </c:pt>
                  <c:pt idx="12">
                    <c:v>0.12626000000000001</c:v>
                  </c:pt>
                  <c:pt idx="13">
                    <c:v>0.13288</c:v>
                  </c:pt>
                  <c:pt idx="14">
                    <c:v>0.15886</c:v>
                  </c:pt>
                  <c:pt idx="15">
                    <c:v>0.18722000000000003</c:v>
                  </c:pt>
                  <c:pt idx="16">
                    <c:v>0.19598000000000002</c:v>
                  </c:pt>
                  <c:pt idx="17">
                    <c:v>0.30080000000000001</c:v>
                  </c:pt>
                </c:numCache>
              </c:numRef>
            </c:plus>
            <c:minus>
              <c:numRef>
                <c:f>'2nd bg284d'!$S$51:$S$68</c:f>
                <c:numCache>
                  <c:formatCode>General</c:formatCode>
                  <c:ptCount val="18"/>
                  <c:pt idx="0">
                    <c:v>0.12565999999999999</c:v>
                  </c:pt>
                  <c:pt idx="1">
                    <c:v>0.12960000000000002</c:v>
                  </c:pt>
                  <c:pt idx="2">
                    <c:v>0.12465999999999999</c:v>
                  </c:pt>
                  <c:pt idx="3">
                    <c:v>0.12228000000000001</c:v>
                  </c:pt>
                  <c:pt idx="4">
                    <c:v>0.11994</c:v>
                  </c:pt>
                  <c:pt idx="5">
                    <c:v>0.11802</c:v>
                  </c:pt>
                  <c:pt idx="6">
                    <c:v>0.12162000000000001</c:v>
                  </c:pt>
                  <c:pt idx="7">
                    <c:v>0.12096000000000001</c:v>
                  </c:pt>
                  <c:pt idx="8">
                    <c:v>0.1206</c:v>
                  </c:pt>
                  <c:pt idx="9">
                    <c:v>0.10828</c:v>
                  </c:pt>
                  <c:pt idx="10">
                    <c:v>0.11598</c:v>
                  </c:pt>
                  <c:pt idx="11">
                    <c:v>0.10996</c:v>
                  </c:pt>
                  <c:pt idx="12">
                    <c:v>0.12626000000000001</c:v>
                  </c:pt>
                  <c:pt idx="13">
                    <c:v>0.13288</c:v>
                  </c:pt>
                  <c:pt idx="14">
                    <c:v>0.15886</c:v>
                  </c:pt>
                  <c:pt idx="15">
                    <c:v>0.18722000000000003</c:v>
                  </c:pt>
                  <c:pt idx="16">
                    <c:v>0.19598000000000002</c:v>
                  </c:pt>
                  <c:pt idx="17">
                    <c:v>0.30080000000000001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'2nd bg284d'!$P$51:$P$67</c:f>
              <c:numCache>
                <c:formatCode>General</c:formatCode>
                <c:ptCount val="17"/>
                <c:pt idx="0">
                  <c:v>-2.3898000000000139</c:v>
                </c:pt>
                <c:pt idx="1">
                  <c:v>-2.3931999999999789</c:v>
                </c:pt>
                <c:pt idx="2">
                  <c:v>-2.3902000000000045</c:v>
                </c:pt>
                <c:pt idx="3">
                  <c:v>-2.3884000000000016</c:v>
                </c:pt>
                <c:pt idx="4">
                  <c:v>-2.3983999999999925</c:v>
                </c:pt>
                <c:pt idx="5">
                  <c:v>-2.3826000000000023</c:v>
                </c:pt>
                <c:pt idx="6">
                  <c:v>-2.3885999999999967</c:v>
                </c:pt>
                <c:pt idx="7">
                  <c:v>-2.3963999999999941</c:v>
                </c:pt>
                <c:pt idx="8">
                  <c:v>-2.3929999999999838</c:v>
                </c:pt>
                <c:pt idx="9">
                  <c:v>-2.3902000000000045</c:v>
                </c:pt>
                <c:pt idx="10">
                  <c:v>-2.3846000000000003</c:v>
                </c:pt>
                <c:pt idx="11">
                  <c:v>-2.3867999999999938</c:v>
                </c:pt>
                <c:pt idx="12">
                  <c:v>-2.3751999999999955</c:v>
                </c:pt>
                <c:pt idx="13">
                  <c:v>-2.4076000000000022</c:v>
                </c:pt>
                <c:pt idx="14">
                  <c:v>-2.3596000000000004</c:v>
                </c:pt>
                <c:pt idx="15">
                  <c:v>-2.4561999999999902</c:v>
                </c:pt>
                <c:pt idx="16">
                  <c:v>-2.4440000000000057</c:v>
                </c:pt>
              </c:numCache>
            </c:numRef>
          </c:xVal>
          <c:yVal>
            <c:numRef>
              <c:f>'2nd bg284d'!$R$51:$R$67</c:f>
              <c:numCache>
                <c:formatCode>General</c:formatCode>
                <c:ptCount val="17"/>
                <c:pt idx="0">
                  <c:v>1.5519999999999983</c:v>
                </c:pt>
                <c:pt idx="1">
                  <c:v>1.5458000000000085</c:v>
                </c:pt>
                <c:pt idx="2">
                  <c:v>1.5820000000000165</c:v>
                </c:pt>
                <c:pt idx="3">
                  <c:v>1.5739999999999783</c:v>
                </c:pt>
                <c:pt idx="4">
                  <c:v>1.5474000000000161</c:v>
                </c:pt>
                <c:pt idx="5">
                  <c:v>1.5014000000000125</c:v>
                </c:pt>
                <c:pt idx="6">
                  <c:v>1.5076000000000023</c:v>
                </c:pt>
                <c:pt idx="7">
                  <c:v>1.5184000000000197</c:v>
                </c:pt>
                <c:pt idx="8">
                  <c:v>1.390599999999995</c:v>
                </c:pt>
                <c:pt idx="9">
                  <c:v>1.4175999999999931</c:v>
                </c:pt>
                <c:pt idx="10">
                  <c:v>1.4014000000000124</c:v>
                </c:pt>
                <c:pt idx="11">
                  <c:v>1.4230000000000018</c:v>
                </c:pt>
                <c:pt idx="12">
                  <c:v>1.4385999999999968</c:v>
                </c:pt>
                <c:pt idx="13">
                  <c:v>1.4476000000000113</c:v>
                </c:pt>
                <c:pt idx="14">
                  <c:v>1.4077999999999975</c:v>
                </c:pt>
                <c:pt idx="15">
                  <c:v>1.5612000000000081</c:v>
                </c:pt>
                <c:pt idx="16">
                  <c:v>1.5210000000000037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'2nd bg284d'!$B$51:$B$69</c15:f>
                <c15:dlblRangeCache>
                  <c:ptCount val="19"/>
                  <c:pt idx="0">
                    <c:v>3550</c:v>
                  </c:pt>
                  <c:pt idx="1">
                    <c:v>5000</c:v>
                  </c:pt>
                  <c:pt idx="2">
                    <c:v>10000</c:v>
                  </c:pt>
                  <c:pt idx="3">
                    <c:v>14000</c:v>
                  </c:pt>
                  <c:pt idx="4">
                    <c:v>20000</c:v>
                  </c:pt>
                  <c:pt idx="5">
                    <c:v>25000</c:v>
                  </c:pt>
                  <c:pt idx="6">
                    <c:v>30000</c:v>
                  </c:pt>
                  <c:pt idx="7">
                    <c:v>34000</c:v>
                  </c:pt>
                  <c:pt idx="8">
                    <c:v>40000</c:v>
                  </c:pt>
                  <c:pt idx="9">
                    <c:v>45000</c:v>
                  </c:pt>
                  <c:pt idx="10">
                    <c:v>50000</c:v>
                  </c:pt>
                  <c:pt idx="11">
                    <c:v>55000</c:v>
                  </c:pt>
                  <c:pt idx="12">
                    <c:v>60000</c:v>
                  </c:pt>
                  <c:pt idx="13">
                    <c:v>65000</c:v>
                  </c:pt>
                  <c:pt idx="14">
                    <c:v>70000</c:v>
                  </c:pt>
                  <c:pt idx="15">
                    <c:v>75000</c:v>
                  </c:pt>
                  <c:pt idx="16">
                    <c:v>80000</c:v>
                  </c:pt>
                  <c:pt idx="17">
                    <c:v>85000</c:v>
                  </c:pt>
                  <c:pt idx="18">
                    <c:v>90000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D259-674F-BE04-7C232B1DD12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4957599"/>
        <c:axId val="1997796431"/>
      </c:scatterChart>
      <c:valAx>
        <c:axId val="2044957599"/>
        <c:scaling>
          <c:orientation val="minMax"/>
          <c:max val="-2.2999999999999998"/>
          <c:min val="-2.5499999999999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1997796431"/>
        <c:crosses val="autoZero"/>
        <c:crossBetween val="midCat"/>
        <c:majorUnit val="0.05"/>
      </c:valAx>
      <c:valAx>
        <c:axId val="1997796431"/>
        <c:scaling>
          <c:orientation val="minMax"/>
          <c:max val="1.75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2044957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0" i="0" u="none" strike="noStrike" kern="1200" baseline="0">
                <a:solidFill>
                  <a:srgbClr val="000000"/>
                </a:solidFill>
              </a:rPr>
              <a:t>2. Log Scale - MaNGA 1-27393 (bg284d)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C-Band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circle"/>
            <c:size val="7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0-679D-4C4B-BD57-7B64162AC4F8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1-679D-4C4B-BD57-7B64162AC4F8}"/>
              </c:ext>
            </c:extLst>
          </c:dPt>
          <c:dPt>
            <c:idx val="18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47A-8B40-82D5-24C2F3713FD4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02-679D-4C4B-BD57-7B64162AC4F8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'2nd bg284d'!$D$4:$D$22</c:f>
                <c:numCache>
                  <c:formatCode>General</c:formatCode>
                  <c:ptCount val="19"/>
                  <c:pt idx="0">
                    <c:v>1.52E-2</c:v>
                  </c:pt>
                  <c:pt idx="1">
                    <c:v>1.5800000000000002E-2</c:v>
                  </c:pt>
                  <c:pt idx="2">
                    <c:v>1.6399999999999998E-2</c:v>
                  </c:pt>
                  <c:pt idx="3">
                    <c:v>1.6500000000000001E-2</c:v>
                  </c:pt>
                  <c:pt idx="4">
                    <c:v>1.7299999999999999E-2</c:v>
                  </c:pt>
                  <c:pt idx="5">
                    <c:v>1.83E-2</c:v>
                  </c:pt>
                  <c:pt idx="6">
                    <c:v>1.9800000000000002E-2</c:v>
                  </c:pt>
                  <c:pt idx="7">
                    <c:v>1.9899999999999998E-2</c:v>
                  </c:pt>
                  <c:pt idx="8">
                    <c:v>2.1299999999999999E-2</c:v>
                  </c:pt>
                  <c:pt idx="9">
                    <c:v>2.1600000000000001E-2</c:v>
                  </c:pt>
                  <c:pt idx="10">
                    <c:v>2.29E-2</c:v>
                  </c:pt>
                  <c:pt idx="11">
                    <c:v>2.3900000000000001E-2</c:v>
                  </c:pt>
                  <c:pt idx="12">
                    <c:v>2.5700000000000001E-2</c:v>
                  </c:pt>
                  <c:pt idx="13">
                    <c:v>2.8199999999999999E-2</c:v>
                  </c:pt>
                  <c:pt idx="14">
                    <c:v>3.1199999999999999E-2</c:v>
                  </c:pt>
                  <c:pt idx="15">
                    <c:v>3.4100000000000005E-2</c:v>
                  </c:pt>
                  <c:pt idx="16">
                    <c:v>3.9600000000000003E-2</c:v>
                  </c:pt>
                  <c:pt idx="17">
                    <c:v>4.4299999999999999E-2</c:v>
                  </c:pt>
                  <c:pt idx="18">
                    <c:v>0</c:v>
                  </c:pt>
                </c:numCache>
              </c:numRef>
            </c:plus>
            <c:minus>
              <c:numRef>
                <c:f>'2nd bg284d'!$D$4:$D$22</c:f>
                <c:numCache>
                  <c:formatCode>General</c:formatCode>
                  <c:ptCount val="19"/>
                  <c:pt idx="0">
                    <c:v>1.52E-2</c:v>
                  </c:pt>
                  <c:pt idx="1">
                    <c:v>1.5800000000000002E-2</c:v>
                  </c:pt>
                  <c:pt idx="2">
                    <c:v>1.6399999999999998E-2</c:v>
                  </c:pt>
                  <c:pt idx="3">
                    <c:v>1.6500000000000001E-2</c:v>
                  </c:pt>
                  <c:pt idx="4">
                    <c:v>1.7299999999999999E-2</c:v>
                  </c:pt>
                  <c:pt idx="5">
                    <c:v>1.83E-2</c:v>
                  </c:pt>
                  <c:pt idx="6">
                    <c:v>1.9800000000000002E-2</c:v>
                  </c:pt>
                  <c:pt idx="7">
                    <c:v>1.9899999999999998E-2</c:v>
                  </c:pt>
                  <c:pt idx="8">
                    <c:v>2.1299999999999999E-2</c:v>
                  </c:pt>
                  <c:pt idx="9">
                    <c:v>2.1600000000000001E-2</c:v>
                  </c:pt>
                  <c:pt idx="10">
                    <c:v>2.29E-2</c:v>
                  </c:pt>
                  <c:pt idx="11">
                    <c:v>2.3900000000000001E-2</c:v>
                  </c:pt>
                  <c:pt idx="12">
                    <c:v>2.5700000000000001E-2</c:v>
                  </c:pt>
                  <c:pt idx="13">
                    <c:v>2.8199999999999999E-2</c:v>
                  </c:pt>
                  <c:pt idx="14">
                    <c:v>3.1199999999999999E-2</c:v>
                  </c:pt>
                  <c:pt idx="15">
                    <c:v>3.4100000000000005E-2</c:v>
                  </c:pt>
                  <c:pt idx="16">
                    <c:v>3.9600000000000003E-2</c:v>
                  </c:pt>
                  <c:pt idx="17">
                    <c:v>4.4299999999999999E-2</c:v>
                  </c:pt>
                  <c:pt idx="18">
                    <c:v>0</c:v>
                  </c:pt>
                </c:numCache>
              </c:numRef>
            </c:minus>
          </c:errBars>
          <c:xVal>
            <c:numRef>
              <c:f>'2nd bg284d'!$B$26:$B$44</c:f>
              <c:numCache>
                <c:formatCode>General</c:formatCode>
                <c:ptCount val="19"/>
                <c:pt idx="0">
                  <c:v>3.5502283530550942</c:v>
                </c:pt>
                <c:pt idx="1">
                  <c:v>3.6989700043360187</c:v>
                </c:pt>
                <c:pt idx="2">
                  <c:v>4</c:v>
                </c:pt>
                <c:pt idx="3">
                  <c:v>4.1461280356782382</c:v>
                </c:pt>
                <c:pt idx="4">
                  <c:v>4.3010299956639813</c:v>
                </c:pt>
                <c:pt idx="5">
                  <c:v>4.3979400086720375</c:v>
                </c:pt>
                <c:pt idx="6">
                  <c:v>4.4771212547196626</c:v>
                </c:pt>
                <c:pt idx="7">
                  <c:v>4.5314789170422554</c:v>
                </c:pt>
                <c:pt idx="8">
                  <c:v>4.6020599913279625</c:v>
                </c:pt>
                <c:pt idx="9">
                  <c:v>4.653212513775344</c:v>
                </c:pt>
                <c:pt idx="10">
                  <c:v>4.6989700043360187</c:v>
                </c:pt>
                <c:pt idx="11">
                  <c:v>4.7403626894942441</c:v>
                </c:pt>
                <c:pt idx="12">
                  <c:v>4.7781512503836439</c:v>
                </c:pt>
                <c:pt idx="13">
                  <c:v>4.8129133566428557</c:v>
                </c:pt>
                <c:pt idx="14">
                  <c:v>4.8450980400142569</c:v>
                </c:pt>
                <c:pt idx="15">
                  <c:v>4.8750612633917001</c:v>
                </c:pt>
                <c:pt idx="16">
                  <c:v>4.9030899869919438</c:v>
                </c:pt>
                <c:pt idx="17">
                  <c:v>4.9294189257142929</c:v>
                </c:pt>
                <c:pt idx="18">
                  <c:v>4.9542425094393252</c:v>
                </c:pt>
              </c:numCache>
            </c:numRef>
          </c:xVal>
          <c:yVal>
            <c:numRef>
              <c:f>'2nd bg284d'!$C$26:$C$44</c:f>
              <c:numCache>
                <c:formatCode>General</c:formatCode>
                <c:ptCount val="19"/>
                <c:pt idx="0">
                  <c:v>-0.67468962828893886</c:v>
                </c:pt>
                <c:pt idx="1">
                  <c:v>-0.67666538140095023</c:v>
                </c:pt>
                <c:pt idx="2">
                  <c:v>-0.67074453562036251</c:v>
                </c:pt>
                <c:pt idx="3">
                  <c:v>-0.67123317040847486</c:v>
                </c:pt>
                <c:pt idx="4">
                  <c:v>-0.67200796828122178</c:v>
                </c:pt>
                <c:pt idx="5">
                  <c:v>-0.6630801977997719</c:v>
                </c:pt>
                <c:pt idx="6">
                  <c:v>-0.63997491081060243</c:v>
                </c:pt>
                <c:pt idx="7">
                  <c:v>-0.63642562298955396</c:v>
                </c:pt>
                <c:pt idx="8">
                  <c:v>-0.65678840982025255</c:v>
                </c:pt>
                <c:pt idx="9">
                  <c:v>-0.60816545830671365</c:v>
                </c:pt>
                <c:pt idx="10">
                  <c:v>-0.60504077151380042</c:v>
                </c:pt>
                <c:pt idx="11">
                  <c:v>-0.59320442733174972</c:v>
                </c:pt>
                <c:pt idx="12">
                  <c:v>-0.62191112136121329</c:v>
                </c:pt>
                <c:pt idx="13">
                  <c:v>-0.62547160561875725</c:v>
                </c:pt>
                <c:pt idx="14">
                  <c:v>-0.68218729184917815</c:v>
                </c:pt>
                <c:pt idx="15">
                  <c:v>-0.69363931713894855</c:v>
                </c:pt>
                <c:pt idx="16">
                  <c:v>-0.73268744216855552</c:v>
                </c:pt>
                <c:pt idx="17">
                  <c:v>-0.84630705999144962</c:v>
                </c:pt>
                <c:pt idx="18">
                  <c:v>-0.84463359335329558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9D-4C4B-BD57-7B64162AC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09363"/>
        <c:axId val="904966794"/>
      </c:scatterChart>
      <c:valAx>
        <c:axId val="49509363"/>
        <c:scaling>
          <c:orientation val="minMax"/>
          <c:max val="5"/>
          <c:min val="3.5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b_min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E"/>
          </a:p>
        </c:txPr>
        <c:crossAx val="904966794"/>
        <c:crosses val="autoZero"/>
        <c:crossBetween val="midCat"/>
        <c:majorUnit val="0.1"/>
      </c:valAx>
      <c:valAx>
        <c:axId val="904966794"/>
        <c:scaling>
          <c:orientation val="minMax"/>
          <c:max val="-0.55000000000000004"/>
          <c:min val="-0.9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Flux milliJy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E"/>
          </a:p>
        </c:txPr>
        <c:crossAx val="49509363"/>
        <c:crosses val="autoZero"/>
        <c:crossBetween val="midCat"/>
        <c:majorUnit val="0.1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0" i="0" u="none" strike="noStrike" kern="1200" baseline="0">
                <a:solidFill>
                  <a:srgbClr val="000000"/>
                </a:solidFill>
              </a:rPr>
              <a:t>3. MaNGA 1-19818 (bg284f)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C-Band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</c:spPr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0-05D2-C144-A7A9-F05E78F88610}"/>
              </c:ext>
            </c:extLst>
          </c:dPt>
          <c:dPt>
            <c:idx val="11"/>
            <c:marker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5D2-C144-A7A9-F05E78F88610}"/>
              </c:ext>
            </c:extLst>
          </c:dPt>
          <c:dPt>
            <c:idx val="2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D420-C74B-94E4-13B7BD74B185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'3rd bg284f'!$I$4:$I$24</c:f>
                <c:numCache>
                  <c:formatCode>General</c:formatCode>
                  <c:ptCount val="21"/>
                  <c:pt idx="1">
                    <c:v>1.5000000000000001E-2</c:v>
                  </c:pt>
                  <c:pt idx="2">
                    <c:v>1.52E-2</c:v>
                  </c:pt>
                  <c:pt idx="3">
                    <c:v>1.61E-2</c:v>
                  </c:pt>
                  <c:pt idx="4">
                    <c:v>1.6299999999999999E-2</c:v>
                  </c:pt>
                  <c:pt idx="5">
                    <c:v>1.6900000000000002E-2</c:v>
                  </c:pt>
                  <c:pt idx="6">
                    <c:v>1.7900000000000003E-2</c:v>
                  </c:pt>
                  <c:pt idx="7">
                    <c:v>1.95E-2</c:v>
                  </c:pt>
                  <c:pt idx="9">
                    <c:v>2.0199999999999999E-2</c:v>
                  </c:pt>
                  <c:pt idx="10">
                    <c:v>2.1600000000000001E-2</c:v>
                  </c:pt>
                  <c:pt idx="12">
                    <c:v>2.2500000000000003E-2</c:v>
                  </c:pt>
                  <c:pt idx="13">
                    <c:v>2.46E-2</c:v>
                  </c:pt>
                  <c:pt idx="14">
                    <c:v>2.58E-2</c:v>
                  </c:pt>
                  <c:pt idx="15">
                    <c:v>2.7699999999999999E-2</c:v>
                  </c:pt>
                  <c:pt idx="16">
                    <c:v>3.0099999999999998E-2</c:v>
                  </c:pt>
                  <c:pt idx="17">
                    <c:v>3.1900000000000005E-2</c:v>
                  </c:pt>
                  <c:pt idx="18">
                    <c:v>3.39E-2</c:v>
                  </c:pt>
                  <c:pt idx="19">
                    <c:v>4.0500000000000001E-2</c:v>
                  </c:pt>
                  <c:pt idx="20">
                    <c:v>0</c:v>
                  </c:pt>
                </c:numCache>
              </c:numRef>
            </c:plus>
            <c:minus>
              <c:numRef>
                <c:f>'3rd bg284f'!$I$4:$I$24</c:f>
                <c:numCache>
                  <c:formatCode>General</c:formatCode>
                  <c:ptCount val="21"/>
                  <c:pt idx="1">
                    <c:v>1.5000000000000001E-2</c:v>
                  </c:pt>
                  <c:pt idx="2">
                    <c:v>1.52E-2</c:v>
                  </c:pt>
                  <c:pt idx="3">
                    <c:v>1.61E-2</c:v>
                  </c:pt>
                  <c:pt idx="4">
                    <c:v>1.6299999999999999E-2</c:v>
                  </c:pt>
                  <c:pt idx="5">
                    <c:v>1.6900000000000002E-2</c:v>
                  </c:pt>
                  <c:pt idx="6">
                    <c:v>1.7900000000000003E-2</c:v>
                  </c:pt>
                  <c:pt idx="7">
                    <c:v>1.95E-2</c:v>
                  </c:pt>
                  <c:pt idx="9">
                    <c:v>2.0199999999999999E-2</c:v>
                  </c:pt>
                  <c:pt idx="10">
                    <c:v>2.1600000000000001E-2</c:v>
                  </c:pt>
                  <c:pt idx="12">
                    <c:v>2.2500000000000003E-2</c:v>
                  </c:pt>
                  <c:pt idx="13">
                    <c:v>2.46E-2</c:v>
                  </c:pt>
                  <c:pt idx="14">
                    <c:v>2.58E-2</c:v>
                  </c:pt>
                  <c:pt idx="15">
                    <c:v>2.7699999999999999E-2</c:v>
                  </c:pt>
                  <c:pt idx="16">
                    <c:v>3.0099999999999998E-2</c:v>
                  </c:pt>
                  <c:pt idx="17">
                    <c:v>3.1900000000000005E-2</c:v>
                  </c:pt>
                  <c:pt idx="18">
                    <c:v>3.39E-2</c:v>
                  </c:pt>
                  <c:pt idx="19">
                    <c:v>4.0500000000000001E-2</c:v>
                  </c:pt>
                  <c:pt idx="20">
                    <c:v>0</c:v>
                  </c:pt>
                </c:numCache>
              </c:numRef>
            </c:minus>
          </c:errBars>
          <c:xVal>
            <c:numRef>
              <c:f>'3rd bg284f'!$B$4:$B$24</c:f>
              <c:numCache>
                <c:formatCode>General</c:formatCode>
                <c:ptCount val="21"/>
                <c:pt idx="0">
                  <c:v>1100</c:v>
                </c:pt>
                <c:pt idx="1">
                  <c:v>3665</c:v>
                </c:pt>
                <c:pt idx="2">
                  <c:v>5000</c:v>
                </c:pt>
                <c:pt idx="3">
                  <c:v>10000</c:v>
                </c:pt>
                <c:pt idx="4">
                  <c:v>15000</c:v>
                </c:pt>
                <c:pt idx="5">
                  <c:v>20000</c:v>
                </c:pt>
                <c:pt idx="6">
                  <c:v>25000</c:v>
                </c:pt>
                <c:pt idx="7">
                  <c:v>30000</c:v>
                </c:pt>
                <c:pt idx="8">
                  <c:v>34000</c:v>
                </c:pt>
                <c:pt idx="9">
                  <c:v>35000</c:v>
                </c:pt>
                <c:pt idx="10">
                  <c:v>40000</c:v>
                </c:pt>
                <c:pt idx="11">
                  <c:v>43000</c:v>
                </c:pt>
                <c:pt idx="12">
                  <c:v>45000</c:v>
                </c:pt>
                <c:pt idx="13">
                  <c:v>50000</c:v>
                </c:pt>
                <c:pt idx="14">
                  <c:v>55000</c:v>
                </c:pt>
                <c:pt idx="15">
                  <c:v>60000</c:v>
                </c:pt>
                <c:pt idx="16">
                  <c:v>65000</c:v>
                </c:pt>
                <c:pt idx="17">
                  <c:v>70000</c:v>
                </c:pt>
                <c:pt idx="18">
                  <c:v>75000</c:v>
                </c:pt>
                <c:pt idx="19">
                  <c:v>80000</c:v>
                </c:pt>
                <c:pt idx="20">
                  <c:v>85000</c:v>
                </c:pt>
              </c:numCache>
            </c:numRef>
          </c:xVal>
          <c:yVal>
            <c:numRef>
              <c:f>'3rd bg284f'!$H$4:$H$24</c:f>
              <c:numCache>
                <c:formatCode>General</c:formatCode>
                <c:ptCount val="21"/>
                <c:pt idx="1">
                  <c:v>0.12240999999999999</c:v>
                </c:pt>
                <c:pt idx="2">
                  <c:v>0.11993999999999999</c:v>
                </c:pt>
                <c:pt idx="3">
                  <c:v>0.12023</c:v>
                </c:pt>
                <c:pt idx="4">
                  <c:v>0.11627</c:v>
                </c:pt>
                <c:pt idx="5">
                  <c:v>0.11493</c:v>
                </c:pt>
                <c:pt idx="6">
                  <c:v>0.11867999999999999</c:v>
                </c:pt>
                <c:pt idx="7">
                  <c:v>0.12572</c:v>
                </c:pt>
                <c:pt idx="9">
                  <c:v>0.12055</c:v>
                </c:pt>
                <c:pt idx="10">
                  <c:v>0.12903000000000001</c:v>
                </c:pt>
                <c:pt idx="12">
                  <c:v>0.13134000000000001</c:v>
                </c:pt>
                <c:pt idx="13">
                  <c:v>0.12725999999999998</c:v>
                </c:pt>
                <c:pt idx="14">
                  <c:v>0.13164999999999999</c:v>
                </c:pt>
                <c:pt idx="15">
                  <c:v>0.12428</c:v>
                </c:pt>
                <c:pt idx="16">
                  <c:v>0.11992999999999999</c:v>
                </c:pt>
                <c:pt idx="17">
                  <c:v>0.10841999999999999</c:v>
                </c:pt>
                <c:pt idx="18">
                  <c:v>0.11634</c:v>
                </c:pt>
                <c:pt idx="19">
                  <c:v>0.13771</c:v>
                </c:pt>
                <c:pt idx="20" formatCode="0.00E+00">
                  <c:v>0.17817000000000002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D2-C144-A7A9-F05E78F88610}"/>
            </c:ext>
          </c:extLst>
        </c:ser>
        <c:ser>
          <c:idx val="0"/>
          <c:order val="1"/>
          <c:tx>
            <c:v>L-band</c:v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circle"/>
            <c:size val="7"/>
            <c:spPr>
              <a:ln>
                <a:noFill/>
              </a:ln>
            </c:spPr>
          </c:marker>
          <c:dPt>
            <c:idx val="0"/>
            <c:marker>
              <c:symbol val="square"/>
              <c:size val="7"/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spPr>
              <a:ln cap="flat">
                <a:solidFill>
                  <a:schemeClr val="accent4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4-05D2-C144-A7A9-F05E78F88610}"/>
              </c:ext>
            </c:extLst>
          </c:dPt>
          <c:dPt>
            <c:idx val="1"/>
            <c:marker>
              <c:symbol val="square"/>
              <c:size val="7"/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5D2-C144-A7A9-F05E78F88610}"/>
              </c:ext>
            </c:extLst>
          </c:dPt>
          <c:dPt>
            <c:idx val="2"/>
            <c:marker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05D2-C144-A7A9-F05E78F88610}"/>
              </c:ext>
            </c:extLst>
          </c:dPt>
          <c:dPt>
            <c:idx val="3"/>
            <c:marker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5D2-C144-A7A9-F05E78F88610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05D2-C144-A7A9-F05E78F88610}"/>
              </c:ext>
            </c:extLst>
          </c:dPt>
          <c:dPt>
            <c:idx val="5"/>
            <c:marker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05D2-C144-A7A9-F05E78F88610}"/>
              </c:ext>
            </c:extLst>
          </c:dPt>
          <c:dPt>
            <c:idx val="6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05D2-C144-A7A9-F05E78F88610}"/>
              </c:ext>
            </c:extLst>
          </c:dPt>
          <c:dPt>
            <c:idx val="7"/>
            <c:marker>
              <c:symbol val="triangle"/>
              <c:size val="7"/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05D2-C144-A7A9-F05E78F88610}"/>
              </c:ext>
            </c:extLst>
          </c:dPt>
          <c:dPt>
            <c:idx val="8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05D2-C144-A7A9-F05E78F88610}"/>
              </c:ext>
            </c:extLst>
          </c:dPt>
          <c:dPt>
            <c:idx val="9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05D2-C144-A7A9-F05E78F88610}"/>
              </c:ext>
            </c:extLst>
          </c:dPt>
          <c:dPt>
            <c:idx val="1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05D2-C144-A7A9-F05E78F88610}"/>
              </c:ext>
            </c:extLst>
          </c:dPt>
          <c:dPt>
            <c:idx val="11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05D2-C144-A7A9-F05E78F88610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'3rd bg284f'!$D$4:$D$10</c:f>
                <c:numCache>
                  <c:formatCode>General</c:formatCode>
                  <c:ptCount val="7"/>
                  <c:pt idx="0">
                    <c:v>7.1300000000000002E-2</c:v>
                  </c:pt>
                  <c:pt idx="2">
                    <c:v>4.1500000000000002E-2</c:v>
                  </c:pt>
                  <c:pt idx="3">
                    <c:v>5.0899999999999994E-2</c:v>
                  </c:pt>
                  <c:pt idx="4">
                    <c:v>5.0500000000000003E-2</c:v>
                  </c:pt>
                  <c:pt idx="5">
                    <c:v>6.2E-2</c:v>
                  </c:pt>
                  <c:pt idx="6">
                    <c:v>0</c:v>
                  </c:pt>
                </c:numCache>
              </c:numRef>
            </c:plus>
            <c:minus>
              <c:numRef>
                <c:f>'3rd bg284f'!$D$4:$D$10</c:f>
                <c:numCache>
                  <c:formatCode>General</c:formatCode>
                  <c:ptCount val="7"/>
                  <c:pt idx="0">
                    <c:v>7.1300000000000002E-2</c:v>
                  </c:pt>
                  <c:pt idx="2">
                    <c:v>4.1500000000000002E-2</c:v>
                  </c:pt>
                  <c:pt idx="3">
                    <c:v>5.0899999999999994E-2</c:v>
                  </c:pt>
                  <c:pt idx="4">
                    <c:v>5.0500000000000003E-2</c:v>
                  </c:pt>
                  <c:pt idx="5">
                    <c:v>6.2E-2</c:v>
                  </c:pt>
                  <c:pt idx="6">
                    <c:v>0</c:v>
                  </c:pt>
                </c:numCache>
              </c:numRef>
            </c:minus>
          </c:errBars>
          <c:xVal>
            <c:numRef>
              <c:f>'3rd bg284f'!$B$4:$B$10</c:f>
              <c:numCache>
                <c:formatCode>General</c:formatCode>
                <c:ptCount val="7"/>
                <c:pt idx="0">
                  <c:v>1100</c:v>
                </c:pt>
                <c:pt idx="1">
                  <c:v>3665</c:v>
                </c:pt>
                <c:pt idx="2">
                  <c:v>5000</c:v>
                </c:pt>
                <c:pt idx="3">
                  <c:v>10000</c:v>
                </c:pt>
                <c:pt idx="4">
                  <c:v>15000</c:v>
                </c:pt>
                <c:pt idx="5">
                  <c:v>20000</c:v>
                </c:pt>
                <c:pt idx="6">
                  <c:v>25000</c:v>
                </c:pt>
              </c:numCache>
            </c:numRef>
          </c:xVal>
          <c:yVal>
            <c:numRef>
              <c:f>'3rd bg284f'!$C$4:$C$10</c:f>
              <c:numCache>
                <c:formatCode>General</c:formatCode>
                <c:ptCount val="7"/>
                <c:pt idx="0">
                  <c:v>0.60871000000000008</c:v>
                </c:pt>
                <c:pt idx="2">
                  <c:v>0.48660999999999999</c:v>
                </c:pt>
                <c:pt idx="3">
                  <c:v>0.56061000000000005</c:v>
                </c:pt>
                <c:pt idx="4">
                  <c:v>0.44279999999999997</c:v>
                </c:pt>
                <c:pt idx="5">
                  <c:v>0.40625</c:v>
                </c:pt>
                <c:pt idx="6">
                  <c:v>0.23907000000000003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5D2-C144-A7A9-F05E78F88610}"/>
            </c:ext>
          </c:extLst>
        </c:ser>
        <c:ser>
          <c:idx val="1"/>
          <c:order val="2"/>
          <c:tx>
            <c:v>L-band RMS</c:v>
          </c:tx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  <c:marker>
            <c:symbol val="diamond"/>
            <c:size val="6"/>
            <c:spPr>
              <a:solidFill>
                <a:schemeClr val="accent5">
                  <a:lumMod val="60000"/>
                  <a:lumOff val="40000"/>
                </a:schemeClr>
              </a:solidFill>
            </c:spPr>
          </c:marker>
          <c:xVal>
            <c:numRef>
              <c:f>'3rd bg284f'!$B$4:$B$10</c:f>
              <c:numCache>
                <c:formatCode>General</c:formatCode>
                <c:ptCount val="7"/>
                <c:pt idx="0">
                  <c:v>1100</c:v>
                </c:pt>
                <c:pt idx="1">
                  <c:v>3665</c:v>
                </c:pt>
                <c:pt idx="2">
                  <c:v>5000</c:v>
                </c:pt>
                <c:pt idx="3">
                  <c:v>10000</c:v>
                </c:pt>
                <c:pt idx="4">
                  <c:v>15000</c:v>
                </c:pt>
                <c:pt idx="5">
                  <c:v>20000</c:v>
                </c:pt>
                <c:pt idx="6">
                  <c:v>25000</c:v>
                </c:pt>
              </c:numCache>
            </c:numRef>
          </c:xVal>
          <c:yVal>
            <c:numRef>
              <c:f>'3rd bg284f'!$F$4:$F$10</c:f>
              <c:numCache>
                <c:formatCode>General</c:formatCode>
                <c:ptCount val="7"/>
                <c:pt idx="0">
                  <c:v>3.329E-2</c:v>
                </c:pt>
                <c:pt idx="2">
                  <c:v>4.2529999999999998E-2</c:v>
                </c:pt>
                <c:pt idx="3">
                  <c:v>5.0590000000000003E-2</c:v>
                </c:pt>
                <c:pt idx="4">
                  <c:v>5.0179999999999995E-2</c:v>
                </c:pt>
                <c:pt idx="5">
                  <c:v>6.0720000000000003E-2</c:v>
                </c:pt>
                <c:pt idx="6">
                  <c:v>7.9690000000000011E-2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5D2-C144-A7A9-F05E78F88610}"/>
            </c:ext>
          </c:extLst>
        </c:ser>
        <c:ser>
          <c:idx val="3"/>
          <c:order val="3"/>
          <c:tx>
            <c:v>C-Band RMS</c:v>
          </c:tx>
          <c:spPr>
            <a:ln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ymbol val="diamond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'3rd bg284f'!$B$4:$B$24</c:f>
              <c:numCache>
                <c:formatCode>General</c:formatCode>
                <c:ptCount val="21"/>
                <c:pt idx="0">
                  <c:v>1100</c:v>
                </c:pt>
                <c:pt idx="1">
                  <c:v>3665</c:v>
                </c:pt>
                <c:pt idx="2">
                  <c:v>5000</c:v>
                </c:pt>
                <c:pt idx="3">
                  <c:v>10000</c:v>
                </c:pt>
                <c:pt idx="4">
                  <c:v>15000</c:v>
                </c:pt>
                <c:pt idx="5">
                  <c:v>20000</c:v>
                </c:pt>
                <c:pt idx="6">
                  <c:v>25000</c:v>
                </c:pt>
                <c:pt idx="7">
                  <c:v>30000</c:v>
                </c:pt>
                <c:pt idx="8">
                  <c:v>34000</c:v>
                </c:pt>
                <c:pt idx="9">
                  <c:v>35000</c:v>
                </c:pt>
                <c:pt idx="10">
                  <c:v>40000</c:v>
                </c:pt>
                <c:pt idx="11">
                  <c:v>43000</c:v>
                </c:pt>
                <c:pt idx="12">
                  <c:v>45000</c:v>
                </c:pt>
                <c:pt idx="13">
                  <c:v>50000</c:v>
                </c:pt>
                <c:pt idx="14">
                  <c:v>55000</c:v>
                </c:pt>
                <c:pt idx="15">
                  <c:v>60000</c:v>
                </c:pt>
                <c:pt idx="16">
                  <c:v>65000</c:v>
                </c:pt>
                <c:pt idx="17">
                  <c:v>70000</c:v>
                </c:pt>
                <c:pt idx="18">
                  <c:v>75000</c:v>
                </c:pt>
                <c:pt idx="19">
                  <c:v>80000</c:v>
                </c:pt>
                <c:pt idx="20">
                  <c:v>85000</c:v>
                </c:pt>
              </c:numCache>
            </c:numRef>
          </c:xVal>
          <c:yVal>
            <c:numRef>
              <c:f>'3rd bg284f'!$K$4:$K$24</c:f>
              <c:numCache>
                <c:formatCode>General</c:formatCode>
                <c:ptCount val="21"/>
                <c:pt idx="1">
                  <c:v>1.515E-2</c:v>
                </c:pt>
                <c:pt idx="2">
                  <c:v>1.5339999999999999E-2</c:v>
                </c:pt>
                <c:pt idx="3">
                  <c:v>1.6660000000000001E-2</c:v>
                </c:pt>
                <c:pt idx="4">
                  <c:v>1.6639999999999999E-2</c:v>
                </c:pt>
                <c:pt idx="5">
                  <c:v>1.728E-2</c:v>
                </c:pt>
                <c:pt idx="6">
                  <c:v>1.821E-2</c:v>
                </c:pt>
                <c:pt idx="7">
                  <c:v>1.9380000000000001E-2</c:v>
                </c:pt>
                <c:pt idx="9">
                  <c:v>1.932E-2</c:v>
                </c:pt>
                <c:pt idx="10">
                  <c:v>2.1100000000000001E-2</c:v>
                </c:pt>
                <c:pt idx="12">
                  <c:v>2.2169999999999999E-2</c:v>
                </c:pt>
                <c:pt idx="13">
                  <c:v>2.5109999999999997E-2</c:v>
                </c:pt>
                <c:pt idx="14">
                  <c:v>2.6380000000000001E-2</c:v>
                </c:pt>
                <c:pt idx="15">
                  <c:v>2.682E-2</c:v>
                </c:pt>
                <c:pt idx="16">
                  <c:v>2.9020000000000001E-2</c:v>
                </c:pt>
                <c:pt idx="17">
                  <c:v>3.1789999999999999E-2</c:v>
                </c:pt>
                <c:pt idx="18">
                  <c:v>3.3760000000000005E-2</c:v>
                </c:pt>
                <c:pt idx="19">
                  <c:v>4.512E-2</c:v>
                </c:pt>
                <c:pt idx="20">
                  <c:v>5.9389999999999998E-2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5D2-C144-A7A9-F05E78F88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09363"/>
        <c:axId val="904966794"/>
      </c:scatterChart>
      <c:valAx>
        <c:axId val="49509363"/>
        <c:scaling>
          <c:orientation val="minMax"/>
          <c:max val="86000"/>
          <c:min val="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b_min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E"/>
          </a:p>
        </c:txPr>
        <c:crossAx val="904966794"/>
        <c:crosses val="autoZero"/>
        <c:crossBetween val="midCat"/>
        <c:majorUnit val="10000"/>
      </c:valAx>
      <c:valAx>
        <c:axId val="904966794"/>
        <c:scaling>
          <c:orientation val="minMax"/>
          <c:max val="0.7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Flux milliJy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E"/>
          </a:p>
        </c:txPr>
        <c:crossAx val="49509363"/>
        <c:crosses val="autoZero"/>
        <c:crossBetween val="midCat"/>
        <c:majorUnit val="0.1"/>
      </c:valAx>
    </c:plotArea>
    <c:legend>
      <c:legendPos val="b"/>
      <c:overlay val="0"/>
    </c:legend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/>
                </a:solidFill>
              </a:rPr>
              <a:t>3. MaNGA 1-19818 </a:t>
            </a:r>
            <a:r>
              <a:rPr lang="en-US"/>
              <a:t>X vs Y</a:t>
            </a:r>
            <a:r>
              <a:rPr lang="en-US" baseline="0"/>
              <a:t> positions L-Band (Zoom)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bg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9696A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36C-E341-81B8-52A8B580017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9806F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36C-E341-81B8-52A8B5800177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A9F76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6C-E341-81B8-52A8B5800177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CBD7B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36C-E341-81B8-52A8B5800177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ED07D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36C-E341-81B8-52A8B5800177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EC84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36C-E341-81B8-52A8B5800177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CCDE82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36C-E341-81B8-52A8B5800177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86C97D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36C-E341-81B8-52A8B5800177}"/>
              </c:ext>
            </c:extLst>
          </c:dPt>
          <c:dLbls>
            <c:dLbl>
              <c:idx val="0"/>
              <c:layout>
                <c:manualLayout>
                  <c:x val="-0.13804451689467517"/>
                  <c:y val="8.3572054359120643E-2"/>
                </c:manualLayout>
              </c:layout>
              <c:tx>
                <c:rich>
                  <a:bodyPr/>
                  <a:lstStyle/>
                  <a:p>
                    <a:fld id="{CE628CC3-4676-8845-A4C9-E36A4785BF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36C-E341-81B8-52A8B5800177}"/>
                </c:ext>
              </c:extLst>
            </c:dLbl>
            <c:dLbl>
              <c:idx val="1"/>
              <c:layout>
                <c:manualLayout>
                  <c:x val="-0.16730951381022141"/>
                  <c:y val="-0.15009103689448425"/>
                </c:manualLayout>
              </c:layout>
              <c:tx>
                <c:rich>
                  <a:bodyPr/>
                  <a:lstStyle/>
                  <a:p>
                    <a:fld id="{3A45A724-D521-0D4E-903B-37D55053B6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36C-E341-81B8-52A8B5800177}"/>
                </c:ext>
              </c:extLst>
            </c:dLbl>
            <c:dLbl>
              <c:idx val="2"/>
              <c:layout>
                <c:manualLayout>
                  <c:x val="-2.1048705940442759E-2"/>
                  <c:y val="-0.24425004306424816"/>
                </c:manualLayout>
              </c:layout>
              <c:tx>
                <c:rich>
                  <a:bodyPr/>
                  <a:lstStyle/>
                  <a:p>
                    <a:fld id="{DE9C4454-A72D-2246-8805-507450B9A7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36C-E341-81B8-52A8B5800177}"/>
                </c:ext>
              </c:extLst>
            </c:dLbl>
            <c:dLbl>
              <c:idx val="3"/>
              <c:layout>
                <c:manualLayout>
                  <c:x val="8.2365474018153861E-2"/>
                  <c:y val="0.14202459385320371"/>
                </c:manualLayout>
              </c:layout>
              <c:tx>
                <c:rich>
                  <a:bodyPr/>
                  <a:lstStyle/>
                  <a:p>
                    <a:fld id="{B6E518EA-792B-974E-9876-175B87DF20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36C-E341-81B8-52A8B5800177}"/>
                </c:ext>
              </c:extLst>
            </c:dLbl>
            <c:dLbl>
              <c:idx val="4"/>
              <c:layout>
                <c:manualLayout>
                  <c:x val="8.4892196718542395E-2"/>
                  <c:y val="8.5389458242497093E-2"/>
                </c:manualLayout>
              </c:layout>
              <c:tx>
                <c:rich>
                  <a:bodyPr/>
                  <a:lstStyle/>
                  <a:p>
                    <a:fld id="{B3918FA0-7BA9-B246-90F4-79899BC816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36C-E341-81B8-52A8B5800177}"/>
                </c:ext>
              </c:extLst>
            </c:dLbl>
            <c:dLbl>
              <c:idx val="5"/>
              <c:layout>
                <c:manualLayout>
                  <c:x val="-0.15921769903884356"/>
                  <c:y val="6.4114550690018091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836C-E341-81B8-52A8B5800177}"/>
                </c:ext>
              </c:extLst>
            </c:dLbl>
            <c:dLbl>
              <c:idx val="6"/>
              <c:layout>
                <c:manualLayout>
                  <c:x val="-0.10082392898949727"/>
                  <c:y val="9.9453218310608577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6-836C-E341-81B8-52A8B5800177}"/>
                </c:ext>
              </c:extLst>
            </c:dLbl>
            <c:dLbl>
              <c:idx val="8"/>
              <c:layout>
                <c:manualLayout>
                  <c:x val="-0.11410025629305731"/>
                  <c:y val="-0.1023563792675284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7-836C-E341-81B8-52A8B58001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E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'3rd bg284f'!$Q$52:$Q$57</c:f>
                <c:numCache>
                  <c:formatCode>General</c:formatCode>
                  <c:ptCount val="6"/>
                  <c:pt idx="0">
                    <c:v>6.2580000000000011E-2</c:v>
                  </c:pt>
                  <c:pt idx="1">
                    <c:v>5.2180000000000004E-2</c:v>
                  </c:pt>
                  <c:pt idx="2">
                    <c:v>4.6400000000000004E-2</c:v>
                  </c:pt>
                  <c:pt idx="3">
                    <c:v>6.5800000000000011E-2</c:v>
                  </c:pt>
                  <c:pt idx="4">
                    <c:v>7.4400000000000008E-2</c:v>
                  </c:pt>
                  <c:pt idx="5">
                    <c:v>9.7680000000000003E-2</c:v>
                  </c:pt>
                </c:numCache>
              </c:numRef>
            </c:plus>
            <c:minus>
              <c:numRef>
                <c:f>'3rd bg284f'!$Q$52:$Q$57</c:f>
                <c:numCache>
                  <c:formatCode>General</c:formatCode>
                  <c:ptCount val="6"/>
                  <c:pt idx="0">
                    <c:v>6.2580000000000011E-2</c:v>
                  </c:pt>
                  <c:pt idx="1">
                    <c:v>5.2180000000000004E-2</c:v>
                  </c:pt>
                  <c:pt idx="2">
                    <c:v>4.6400000000000004E-2</c:v>
                  </c:pt>
                  <c:pt idx="3">
                    <c:v>6.5800000000000011E-2</c:v>
                  </c:pt>
                  <c:pt idx="4">
                    <c:v>7.4400000000000008E-2</c:v>
                  </c:pt>
                  <c:pt idx="5">
                    <c:v>9.7680000000000003E-2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'3rd bg284f'!$S$52:$S$57</c:f>
                <c:numCache>
                  <c:formatCode>General</c:formatCode>
                  <c:ptCount val="6"/>
                  <c:pt idx="0">
                    <c:v>0.14438000000000001</c:v>
                  </c:pt>
                  <c:pt idx="1">
                    <c:v>0.1164</c:v>
                  </c:pt>
                  <c:pt idx="2">
                    <c:v>0.11632000000000001</c:v>
                  </c:pt>
                  <c:pt idx="3">
                    <c:v>0.15622000000000003</c:v>
                  </c:pt>
                  <c:pt idx="4">
                    <c:v>0.23033999999999999</c:v>
                  </c:pt>
                  <c:pt idx="5">
                    <c:v>0.25988000000000006</c:v>
                  </c:pt>
                </c:numCache>
              </c:numRef>
            </c:plus>
            <c:minus>
              <c:numRef>
                <c:f>'3rd bg284f'!$S$52:$S$57</c:f>
                <c:numCache>
                  <c:formatCode>General</c:formatCode>
                  <c:ptCount val="6"/>
                  <c:pt idx="0">
                    <c:v>0.14438000000000001</c:v>
                  </c:pt>
                  <c:pt idx="1">
                    <c:v>0.1164</c:v>
                  </c:pt>
                  <c:pt idx="2">
                    <c:v>0.11632000000000001</c:v>
                  </c:pt>
                  <c:pt idx="3">
                    <c:v>0.15622000000000003</c:v>
                  </c:pt>
                  <c:pt idx="4">
                    <c:v>0.23033999999999999</c:v>
                  </c:pt>
                  <c:pt idx="5">
                    <c:v>0.25988000000000006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'3rd bg284f'!$P$52:$P$56</c:f>
              <c:numCache>
                <c:formatCode>General</c:formatCode>
                <c:ptCount val="5"/>
                <c:pt idx="0">
                  <c:v>-2.1929999999999836</c:v>
                </c:pt>
                <c:pt idx="1">
                  <c:v>-2.0619999999999892</c:v>
                </c:pt>
                <c:pt idx="2">
                  <c:v>-2.0617999999999941</c:v>
                </c:pt>
                <c:pt idx="3">
                  <c:v>-2.0603999999999814</c:v>
                </c:pt>
                <c:pt idx="4">
                  <c:v>-2.03420000000001</c:v>
                </c:pt>
              </c:numCache>
            </c:numRef>
          </c:xVal>
          <c:yVal>
            <c:numRef>
              <c:f>'3rd bg284f'!$R$52:$R$56</c:f>
              <c:numCache>
                <c:formatCode>General</c:formatCode>
                <c:ptCount val="5"/>
                <c:pt idx="0">
                  <c:v>-2.3243999999999914</c:v>
                </c:pt>
                <c:pt idx="1">
                  <c:v>-2.8476000000000115</c:v>
                </c:pt>
                <c:pt idx="2">
                  <c:v>-2.7829999999999928</c:v>
                </c:pt>
                <c:pt idx="3">
                  <c:v>-2.8576000000000024</c:v>
                </c:pt>
                <c:pt idx="4">
                  <c:v>-2.8147999999999911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'3rd bg284f'!$B$52:$B$61</c15:f>
                <c15:dlblRangeCache>
                  <c:ptCount val="10"/>
                  <c:pt idx="0">
                    <c:v>1100</c:v>
                  </c:pt>
                  <c:pt idx="1">
                    <c:v>5000</c:v>
                  </c:pt>
                  <c:pt idx="2">
                    <c:v>10000</c:v>
                  </c:pt>
                  <c:pt idx="3">
                    <c:v>15000</c:v>
                  </c:pt>
                  <c:pt idx="4">
                    <c:v>20000</c:v>
                  </c:pt>
                  <c:pt idx="5">
                    <c:v>25000</c:v>
                  </c:pt>
                  <c:pt idx="6">
                    <c:v>30000</c:v>
                  </c:pt>
                  <c:pt idx="7">
                    <c:v>34000</c:v>
                  </c:pt>
                  <c:pt idx="8">
                    <c:v>35000</c:v>
                  </c:pt>
                  <c:pt idx="9">
                    <c:v>40000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836C-E341-81B8-52A8B580017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4957599"/>
        <c:axId val="1997796431"/>
      </c:scatterChart>
      <c:valAx>
        <c:axId val="2044957599"/>
        <c:scaling>
          <c:orientation val="minMax"/>
          <c:max val="-1.9"/>
          <c:min val="-2.2999999999999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1997796431"/>
        <c:crosses val="autoZero"/>
        <c:crossBetween val="midCat"/>
      </c:valAx>
      <c:valAx>
        <c:axId val="1997796431"/>
        <c:scaling>
          <c:orientation val="minMax"/>
          <c:max val="-2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2044957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0" i="0" u="none" strike="noStrike" kern="1200" baseline="0">
                <a:solidFill>
                  <a:srgbClr val="000000"/>
                </a:solidFill>
              </a:rPr>
              <a:t>3. Log scale - MaNGA 1-19818 (bg284f)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C-Band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</c:spPr>
          </c:marker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0-3E6B-384A-A0C2-06F0DB18C7B6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1-3E6B-384A-A0C2-06F0DB18C7B6}"/>
              </c:ext>
            </c:extLst>
          </c:dPt>
          <c:dPt>
            <c:idx val="10"/>
            <c:marker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E6B-384A-A0C2-06F0DB18C7B6}"/>
              </c:ext>
            </c:extLst>
          </c:dPt>
          <c:dPt>
            <c:idx val="11"/>
            <c:marker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E6B-384A-A0C2-06F0DB18C7B6}"/>
              </c:ext>
            </c:extLst>
          </c:dPt>
          <c:dPt>
            <c:idx val="2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6C36-4F49-B089-B87597602DC1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'3rd bg284f'!$I$27:$I$47</c:f>
                <c:numCache>
                  <c:formatCode>General</c:formatCode>
                  <c:ptCount val="21"/>
                  <c:pt idx="1">
                    <c:v>5.0201441678733638E-2</c:v>
                  </c:pt>
                  <c:pt idx="2">
                    <c:v>5.1819870087195685E-2</c:v>
                  </c:pt>
                  <c:pt idx="3">
                    <c:v>5.4578587602949202E-2</c:v>
                  </c:pt>
                  <c:pt idx="4">
                    <c:v>5.6977583816304467E-2</c:v>
                  </c:pt>
                  <c:pt idx="5">
                    <c:v>5.958084537532693E-2</c:v>
                  </c:pt>
                  <c:pt idx="6">
                    <c:v>6.1009570737582064E-2</c:v>
                  </c:pt>
                  <c:pt idx="7">
                    <c:v>6.2622060075634645E-2</c:v>
                  </c:pt>
                  <c:pt idx="9">
                    <c:v>6.7281188809911407E-2</c:v>
                  </c:pt>
                  <c:pt idx="10">
                    <c:v>6.7220778820255012E-2</c:v>
                  </c:pt>
                  <c:pt idx="12">
                    <c:v>6.8672259278848125E-2</c:v>
                  </c:pt>
                  <c:pt idx="13">
                    <c:v>7.6751476641692351E-2</c:v>
                  </c:pt>
                  <c:pt idx="14">
                    <c:v>7.7721801530475698E-2</c:v>
                  </c:pt>
                  <c:pt idx="15">
                    <c:v>8.7385195591254794E-2</c:v>
                  </c:pt>
                  <c:pt idx="16">
                    <c:v>9.7250275586610702E-2</c:v>
                  </c:pt>
                  <c:pt idx="17">
                    <c:v>0.11201017307738992</c:v>
                  </c:pt>
                  <c:pt idx="18">
                    <c:v>0.11105651545968664</c:v>
                  </c:pt>
                  <c:pt idx="19">
                    <c:v>0.11196659191028646</c:v>
                  </c:pt>
                  <c:pt idx="20">
                    <c:v>0</c:v>
                  </c:pt>
                </c:numCache>
              </c:numRef>
            </c:plus>
            <c:minus>
              <c:numRef>
                <c:f>'3rd bg284f'!$J$27:$J$47</c:f>
                <c:numCache>
                  <c:formatCode>General</c:formatCode>
                  <c:ptCount val="21"/>
                  <c:pt idx="1">
                    <c:v>5.677218135182438E-2</c:v>
                  </c:pt>
                  <c:pt idx="2">
                    <c:v>5.8851474936293502E-2</c:v>
                  </c:pt>
                  <c:pt idx="3">
                    <c:v>6.2436978716853497E-2</c:v>
                  </c:pt>
                  <c:pt idx="4">
                    <c:v>6.5597980357383401E-2</c:v>
                  </c:pt>
                  <c:pt idx="5">
                    <c:v>6.907440406479004E-2</c:v>
                  </c:pt>
                  <c:pt idx="6">
                    <c:v>7.1003183625054422E-2</c:v>
                  </c:pt>
                  <c:pt idx="7">
                    <c:v>7.3198075262423945E-2</c:v>
                  </c:pt>
                  <c:pt idx="9">
                    <c:v>7.9649837889968045E-2</c:v>
                  </c:pt>
                  <c:pt idx="10">
                    <c:v>7.9565121542188977E-2</c:v>
                  </c:pt>
                  <c:pt idx="12">
                    <c:v>8.1608478843855248E-2</c:v>
                  </c:pt>
                  <c:pt idx="13">
                    <c:v>9.3290658975461627E-2</c:v>
                  </c:pt>
                  <c:pt idx="14">
                    <c:v>9.473000108665619E-2</c:v>
                  </c:pt>
                  <c:pt idx="15">
                    <c:v>0.10951404351860916</c:v>
                  </c:pt>
                  <c:pt idx="16">
                    <c:v>0.12550643399968431</c:v>
                  </c:pt>
                  <c:pt idx="17">
                    <c:v>0.1513344415893173</c:v>
                  </c:pt>
                  <c:pt idx="18">
                    <c:v>0.14959107635517377</c:v>
                  </c:pt>
                  <c:pt idx="19">
                    <c:v>0.15125453515952103</c:v>
                  </c:pt>
                  <c:pt idx="20">
                    <c:v>0</c:v>
                  </c:pt>
                </c:numCache>
              </c:numRef>
            </c:minus>
          </c:errBars>
          <c:xVal>
            <c:numRef>
              <c:f>'3rd bg284f'!$B$27:$B$47</c:f>
              <c:numCache>
                <c:formatCode>General</c:formatCode>
                <c:ptCount val="21"/>
                <c:pt idx="0">
                  <c:v>3.0413926851582249</c:v>
                </c:pt>
                <c:pt idx="1">
                  <c:v>3.564073978977147</c:v>
                </c:pt>
                <c:pt idx="2">
                  <c:v>3.6989700043360187</c:v>
                </c:pt>
                <c:pt idx="3">
                  <c:v>4</c:v>
                </c:pt>
                <c:pt idx="4">
                  <c:v>4.1760912590556813</c:v>
                </c:pt>
                <c:pt idx="5">
                  <c:v>4.3010299956639813</c:v>
                </c:pt>
                <c:pt idx="6">
                  <c:v>4.3979400086720375</c:v>
                </c:pt>
                <c:pt idx="7">
                  <c:v>4.4771212547196626</c:v>
                </c:pt>
                <c:pt idx="8">
                  <c:v>4.5314789170422554</c:v>
                </c:pt>
                <c:pt idx="9">
                  <c:v>4.5440680443502757</c:v>
                </c:pt>
                <c:pt idx="10">
                  <c:v>4.6020599913279625</c:v>
                </c:pt>
                <c:pt idx="11">
                  <c:v>4.6334684555795862</c:v>
                </c:pt>
                <c:pt idx="12">
                  <c:v>4.653212513775344</c:v>
                </c:pt>
                <c:pt idx="13">
                  <c:v>4.6989700043360187</c:v>
                </c:pt>
                <c:pt idx="14">
                  <c:v>4.7403626894942441</c:v>
                </c:pt>
                <c:pt idx="15">
                  <c:v>4.7781512503836439</c:v>
                </c:pt>
                <c:pt idx="16">
                  <c:v>4.8129133566428557</c:v>
                </c:pt>
                <c:pt idx="17">
                  <c:v>4.8450980400142569</c:v>
                </c:pt>
                <c:pt idx="18">
                  <c:v>4.8750612633917001</c:v>
                </c:pt>
                <c:pt idx="19">
                  <c:v>4.9030899869919438</c:v>
                </c:pt>
                <c:pt idx="20">
                  <c:v>4.9294189257142929</c:v>
                </c:pt>
              </c:numCache>
            </c:numRef>
          </c:xVal>
          <c:yVal>
            <c:numRef>
              <c:f>'3rd bg284f'!$H$27:$H$47</c:f>
              <c:numCache>
                <c:formatCode>General</c:formatCode>
                <c:ptCount val="21"/>
                <c:pt idx="1">
                  <c:v>-0.91218310206447062</c:v>
                </c:pt>
                <c:pt idx="2">
                  <c:v>-0.92103595549823947</c:v>
                </c:pt>
                <c:pt idx="3">
                  <c:v>-0.91998715289207211</c:v>
                </c:pt>
                <c:pt idx="4">
                  <c:v>-0.93453232753434867</c:v>
                </c:pt>
                <c:pt idx="5">
                  <c:v>-0.93956659329725978</c:v>
                </c:pt>
                <c:pt idx="6">
                  <c:v>-0.92562246235519574</c:v>
                </c:pt>
                <c:pt idx="7">
                  <c:v>-0.90059562765445766</c:v>
                </c:pt>
                <c:pt idx="9">
                  <c:v>-0.91883278528652756</c:v>
                </c:pt>
                <c:pt idx="10">
                  <c:v>-0.88930930272624564</c:v>
                </c:pt>
                <c:pt idx="12">
                  <c:v>-0.88160298804842463</c:v>
                </c:pt>
                <c:pt idx="13">
                  <c:v>-0.89530808109979454</c:v>
                </c:pt>
                <c:pt idx="14">
                  <c:v>-0.88057913655791309</c:v>
                </c:pt>
                <c:pt idx="15">
                  <c:v>-0.90559875541706314</c:v>
                </c:pt>
                <c:pt idx="16">
                  <c:v>-0.92107216631928046</c:v>
                </c:pt>
                <c:pt idx="17">
                  <c:v>-0.96489059705542457</c:v>
                </c:pt>
                <c:pt idx="18">
                  <c:v>-0.93427094053765103</c:v>
                </c:pt>
                <c:pt idx="19">
                  <c:v>-0.86103452171017303</c:v>
                </c:pt>
                <c:pt idx="20">
                  <c:v>-0.74916542000331587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6B-384A-A0C2-06F0DB18C7B6}"/>
            </c:ext>
          </c:extLst>
        </c:ser>
        <c:ser>
          <c:idx val="0"/>
          <c:order val="1"/>
          <c:tx>
            <c:v>L-band</c:v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circle"/>
            <c:size val="7"/>
            <c:spPr>
              <a:ln>
                <a:noFill/>
              </a:ln>
            </c:spPr>
          </c:marker>
          <c:dPt>
            <c:idx val="0"/>
            <c:marker>
              <c:symbol val="square"/>
              <c:size val="7"/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spPr>
              <a:ln cap="flat">
                <a:solidFill>
                  <a:schemeClr val="accent4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6-3E6B-384A-A0C2-06F0DB18C7B6}"/>
              </c:ext>
            </c:extLst>
          </c:dPt>
          <c:dPt>
            <c:idx val="1"/>
            <c:marker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E6B-384A-A0C2-06F0DB18C7B6}"/>
              </c:ext>
            </c:extLst>
          </c:dPt>
          <c:dPt>
            <c:idx val="2"/>
            <c:marker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3E6B-384A-A0C2-06F0DB18C7B6}"/>
              </c:ext>
            </c:extLst>
          </c:dPt>
          <c:dPt>
            <c:idx val="3"/>
            <c:marker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E6B-384A-A0C2-06F0DB18C7B6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3E6B-384A-A0C2-06F0DB18C7B6}"/>
              </c:ext>
            </c:extLst>
          </c:dPt>
          <c:dPt>
            <c:idx val="5"/>
            <c:marker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E6B-384A-A0C2-06F0DB18C7B6}"/>
              </c:ext>
            </c:extLst>
          </c:dPt>
          <c:dPt>
            <c:idx val="6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3E6B-384A-A0C2-06F0DB18C7B6}"/>
              </c:ext>
            </c:extLst>
          </c:dPt>
          <c:dPt>
            <c:idx val="7"/>
            <c:marker>
              <c:spPr>
                <a:solidFill>
                  <a:schemeClr val="accent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3E6B-384A-A0C2-06F0DB18C7B6}"/>
              </c:ext>
            </c:extLst>
          </c:dPt>
          <c:dPt>
            <c:idx val="8"/>
            <c:marker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3E6B-384A-A0C2-06F0DB18C7B6}"/>
              </c:ext>
            </c:extLst>
          </c:dPt>
          <c:dPt>
            <c:idx val="9"/>
            <c:marker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3E6B-384A-A0C2-06F0DB18C7B6}"/>
              </c:ext>
            </c:extLst>
          </c:dPt>
          <c:dPt>
            <c:idx val="10"/>
            <c:marker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3E6B-384A-A0C2-06F0DB18C7B6}"/>
              </c:ext>
            </c:extLst>
          </c:dPt>
          <c:dPt>
            <c:idx val="11"/>
            <c:marker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3E6B-384A-A0C2-06F0DB18C7B6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'3rd bg284f'!$D$27:$D$33</c:f>
                <c:numCache>
                  <c:formatCode>General</c:formatCode>
                  <c:ptCount val="7"/>
                  <c:pt idx="0">
                    <c:v>4.8104862861476749E-2</c:v>
                  </c:pt>
                  <c:pt idx="2">
                    <c:v>3.5543361542467344E-2</c:v>
                  </c:pt>
                  <c:pt idx="3">
                    <c:v>3.7742723118215027E-2</c:v>
                  </c:pt>
                  <c:pt idx="4">
                    <c:v>4.6903503255456058E-2</c:v>
                  </c:pt>
                  <c:pt idx="5">
                    <c:v>6.1684412060344196E-2</c:v>
                  </c:pt>
                  <c:pt idx="6">
                    <c:v>0</c:v>
                  </c:pt>
                </c:numCache>
              </c:numRef>
            </c:plus>
            <c:minus>
              <c:numRef>
                <c:f>'3rd bg284f'!$E$27:$E$33</c:f>
                <c:numCache>
                  <c:formatCode>General</c:formatCode>
                  <c:ptCount val="7"/>
                  <c:pt idx="0">
                    <c:v>5.410469305854157E-2</c:v>
                  </c:pt>
                  <c:pt idx="2">
                    <c:v>3.8713678178083688E-2</c:v>
                  </c:pt>
                  <c:pt idx="3">
                    <c:v>4.1337686218152647E-2</c:v>
                  </c:pt>
                  <c:pt idx="4">
                    <c:v>5.258930407714929E-2</c:v>
                  </c:pt>
                  <c:pt idx="5">
                    <c:v>7.1919425057969499E-2</c:v>
                  </c:pt>
                  <c:pt idx="6">
                    <c:v>0</c:v>
                  </c:pt>
                </c:numCache>
              </c:numRef>
            </c:minus>
          </c:errBars>
          <c:xVal>
            <c:numRef>
              <c:f>'3rd bg284f'!$B$27:$B$33</c:f>
              <c:numCache>
                <c:formatCode>General</c:formatCode>
                <c:ptCount val="7"/>
                <c:pt idx="0">
                  <c:v>3.0413926851582249</c:v>
                </c:pt>
                <c:pt idx="1">
                  <c:v>3.564073978977147</c:v>
                </c:pt>
                <c:pt idx="2">
                  <c:v>3.6989700043360187</c:v>
                </c:pt>
                <c:pt idx="3">
                  <c:v>4</c:v>
                </c:pt>
                <c:pt idx="4">
                  <c:v>4.1760912590556813</c:v>
                </c:pt>
                <c:pt idx="5">
                  <c:v>4.3010299956639813</c:v>
                </c:pt>
                <c:pt idx="6">
                  <c:v>4.3979400086720375</c:v>
                </c:pt>
              </c:numCache>
            </c:numRef>
          </c:xVal>
          <c:yVal>
            <c:numRef>
              <c:f>'3rd bg284f'!$C$27:$C$33</c:f>
              <c:numCache>
                <c:formatCode>General</c:formatCode>
                <c:ptCount val="7"/>
                <c:pt idx="0">
                  <c:v>-0.21558956351864342</c:v>
                </c:pt>
                <c:pt idx="2">
                  <c:v>-0.31281897041507656</c:v>
                </c:pt>
                <c:pt idx="3">
                  <c:v>-0.25133915968653409</c:v>
                </c:pt>
                <c:pt idx="4">
                  <c:v>-0.35379238779331484</c:v>
                </c:pt>
                <c:pt idx="5">
                  <c:v>-0.39120662601306921</c:v>
                </c:pt>
                <c:pt idx="6">
                  <c:v>-0.62147491845508573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E6B-384A-A0C2-06F0DB18C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09363"/>
        <c:axId val="904966794"/>
      </c:scatterChart>
      <c:valAx>
        <c:axId val="49509363"/>
        <c:scaling>
          <c:orientation val="minMax"/>
          <c:max val="5"/>
          <c:min val="3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b_min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904966794"/>
        <c:crosses val="autoZero"/>
        <c:crossBetween val="midCat"/>
        <c:majorUnit val="0.2"/>
      </c:valAx>
      <c:valAx>
        <c:axId val="904966794"/>
        <c:scaling>
          <c:orientation val="minMax"/>
          <c:max val="-0.1"/>
          <c:min val="-1.149999999999999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Flux milliJy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E"/>
          </a:p>
        </c:txPr>
        <c:crossAx val="49509363"/>
        <c:crosses val="autoZero"/>
        <c:crossBetween val="midCat"/>
        <c:majorUnit val="0.1"/>
      </c:valAx>
    </c:plotArea>
    <c:legend>
      <c:legendPos val="b"/>
      <c:overlay val="0"/>
    </c:legend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/>
                </a:solidFill>
              </a:rPr>
              <a:t>3. MaNGA 1-19818 </a:t>
            </a:r>
            <a:r>
              <a:rPr lang="en-US"/>
              <a:t>X vs Y</a:t>
            </a:r>
            <a:r>
              <a:rPr lang="en-US" baseline="0"/>
              <a:t> positions C-Band (Zoom)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bg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9696A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EE5-594F-AA70-A1F0509E61F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86D6B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EE5-594F-AA70-A1F0509E61F7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97E6E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EE5-594F-AA70-A1F0509E61F7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A8E72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EE5-594F-AA70-A1F0509E61F7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A9F76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CEE5-594F-AA70-A1F0509E61F7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CB078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EE5-594F-AA70-A1F0509E61F7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FDC17B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CEE5-594F-AA70-A1F0509E61F7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FED27E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CEE5-594F-AA70-A1F0509E61F7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FEE282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CEE5-594F-AA70-A1F0509E61F7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7E984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CEE5-594F-AA70-A1F0509E61F7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E4E483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CEE5-594F-AA70-A1F0509E61F7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D2DF82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036-6149-9F65-1F89CD47B5A8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BFD98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036-6149-9F65-1F89CD47B5A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ADD480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4036-6149-9F65-1F89CD47B5A8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9CCF7F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4036-6149-9F65-1F89CD47B5A8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88C97D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036-6149-9F65-1F89CD47B5A8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rgbClr val="76C47D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4036-6149-9F65-1F89CD47B5A8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rgbClr val="63BE7B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4036-6149-9F65-1F89CD47B5A8}"/>
              </c:ext>
            </c:extLst>
          </c:dPt>
          <c:dLbls>
            <c:dLbl>
              <c:idx val="0"/>
              <c:layout>
                <c:manualLayout>
                  <c:x val="3.449839107694215E-2"/>
                  <c:y val="-0.31440279584631436"/>
                </c:manualLayout>
              </c:layout>
              <c:tx>
                <c:rich>
                  <a:bodyPr/>
                  <a:lstStyle/>
                  <a:p>
                    <a:fld id="{189C0636-7F8F-8641-A428-EE63B784CC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EE5-594F-AA70-A1F0509E61F7}"/>
                </c:ext>
              </c:extLst>
            </c:dLbl>
            <c:dLbl>
              <c:idx val="1"/>
              <c:layout>
                <c:manualLayout>
                  <c:x val="0.12995322779165414"/>
                  <c:y val="5.1117246957477151E-2"/>
                </c:manualLayout>
              </c:layout>
              <c:tx>
                <c:rich>
                  <a:bodyPr/>
                  <a:lstStyle/>
                  <a:p>
                    <a:fld id="{00344529-F0E9-2045-BBD1-D857AD51BC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EE5-594F-AA70-A1F0509E61F7}"/>
                </c:ext>
              </c:extLst>
            </c:dLbl>
            <c:dLbl>
              <c:idx val="2"/>
              <c:layout>
                <c:manualLayout>
                  <c:x val="-0.28369927658915628"/>
                  <c:y val="5.1494976946921484E-2"/>
                </c:manualLayout>
              </c:layout>
              <c:tx>
                <c:rich>
                  <a:bodyPr/>
                  <a:lstStyle/>
                  <a:p>
                    <a:fld id="{2CC3592B-3C54-0941-8465-FCE659ED8F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EE5-594F-AA70-A1F0509E61F7}"/>
                </c:ext>
              </c:extLst>
            </c:dLbl>
            <c:dLbl>
              <c:idx val="3"/>
              <c:layout>
                <c:manualLayout>
                  <c:x val="-1.0496401407632213E-2"/>
                  <c:y val="0.13247090507572928"/>
                </c:manualLayout>
              </c:layout>
              <c:tx>
                <c:rich>
                  <a:bodyPr/>
                  <a:lstStyle/>
                  <a:p>
                    <a:fld id="{5B4E41A5-9149-F446-9EAD-7B4B2769FB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EE5-594F-AA70-A1F0509E61F7}"/>
                </c:ext>
              </c:extLst>
            </c:dLbl>
            <c:dLbl>
              <c:idx val="4"/>
              <c:layout>
                <c:manualLayout>
                  <c:x val="7.953717450277004E-3"/>
                  <c:y val="0.16613561572502483"/>
                </c:manualLayout>
              </c:layout>
              <c:tx>
                <c:rich>
                  <a:bodyPr/>
                  <a:lstStyle/>
                  <a:p>
                    <a:fld id="{BF83797C-634A-D04F-A89A-4AC54A2189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EE5-594F-AA70-A1F0509E61F7}"/>
                </c:ext>
              </c:extLst>
            </c:dLbl>
            <c:dLbl>
              <c:idx val="5"/>
              <c:layout>
                <c:manualLayout>
                  <c:x val="-0.14586441966373861"/>
                  <c:y val="0.18961578586651714"/>
                </c:manualLayout>
              </c:layout>
              <c:tx>
                <c:rich>
                  <a:bodyPr/>
                  <a:lstStyle/>
                  <a:p>
                    <a:fld id="{EDCDC4E5-B813-C547-B2C5-24AC949DF4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EE5-594F-AA70-A1F0509E61F7}"/>
                </c:ext>
              </c:extLst>
            </c:dLbl>
            <c:dLbl>
              <c:idx val="6"/>
              <c:layout>
                <c:manualLayout>
                  <c:x val="0.10033597761512875"/>
                  <c:y val="-0.14573044705983404"/>
                </c:manualLayout>
              </c:layout>
              <c:tx>
                <c:rich>
                  <a:bodyPr/>
                  <a:lstStyle/>
                  <a:p>
                    <a:fld id="{C2A22EA5-57AE-1C40-A98B-813FAE1C52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EE5-594F-AA70-A1F0509E61F7}"/>
                </c:ext>
              </c:extLst>
            </c:dLbl>
            <c:dLbl>
              <c:idx val="7"/>
              <c:layout>
                <c:manualLayout>
                  <c:x val="2.9847777843513158E-2"/>
                  <c:y val="-0.26152653925969666"/>
                </c:manualLayout>
              </c:layout>
              <c:tx>
                <c:rich>
                  <a:bodyPr/>
                  <a:lstStyle/>
                  <a:p>
                    <a:fld id="{70DE91E2-0F99-6441-BF05-08B3CE8FC3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EE5-594F-AA70-A1F0509E61F7}"/>
                </c:ext>
              </c:extLst>
            </c:dLbl>
            <c:dLbl>
              <c:idx val="8"/>
              <c:layout>
                <c:manualLayout>
                  <c:x val="-0.50393156634613434"/>
                  <c:y val="0.20307750671493427"/>
                </c:manualLayout>
              </c:layout>
              <c:tx>
                <c:rich>
                  <a:bodyPr/>
                  <a:lstStyle/>
                  <a:p>
                    <a:fld id="{03687452-BE29-304B-9E1F-C2AA469559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EE5-594F-AA70-A1F0509E61F7}"/>
                </c:ext>
              </c:extLst>
            </c:dLbl>
            <c:dLbl>
              <c:idx val="9"/>
              <c:layout>
                <c:manualLayout>
                  <c:x val="0.15082591801077541"/>
                  <c:y val="-1.7683405836132256E-2"/>
                </c:manualLayout>
              </c:layout>
              <c:tx>
                <c:rich>
                  <a:bodyPr/>
                  <a:lstStyle/>
                  <a:p>
                    <a:fld id="{EC6E3F67-C090-774B-9E54-ECC60FA61D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EE5-594F-AA70-A1F0509E61F7}"/>
                </c:ext>
              </c:extLst>
            </c:dLbl>
            <c:dLbl>
              <c:idx val="10"/>
              <c:layout>
                <c:manualLayout>
                  <c:x val="-0.3446693687640795"/>
                  <c:y val="-4.6745605543019424E-2"/>
                </c:manualLayout>
              </c:layout>
              <c:tx>
                <c:rich>
                  <a:bodyPr/>
                  <a:lstStyle/>
                  <a:p>
                    <a:fld id="{AC7CD5C2-3327-CB48-87AD-DD44359E92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EE5-594F-AA70-A1F0509E61F7}"/>
                </c:ext>
              </c:extLst>
            </c:dLbl>
            <c:dLbl>
              <c:idx val="11"/>
              <c:layout>
                <c:manualLayout>
                  <c:x val="-0.42418671480599524"/>
                  <c:y val="6.817827993894375E-2"/>
                </c:manualLayout>
              </c:layout>
              <c:tx>
                <c:rich>
                  <a:bodyPr/>
                  <a:lstStyle/>
                  <a:p>
                    <a:fld id="{07C1114C-C605-1F4E-AB23-0EBD681060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036-6149-9F65-1F89CD47B5A8}"/>
                </c:ext>
              </c:extLst>
            </c:dLbl>
            <c:dLbl>
              <c:idx val="12"/>
              <c:layout>
                <c:manualLayout>
                  <c:x val="-1.0669381704759324E-2"/>
                  <c:y val="-0.29543921306875626"/>
                </c:manualLayout>
              </c:layout>
              <c:tx>
                <c:rich>
                  <a:bodyPr/>
                  <a:lstStyle/>
                  <a:p>
                    <a:fld id="{2A1B6687-D4A0-FC49-BDBE-2390C8DAA3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036-6149-9F65-1F89CD47B5A8}"/>
                </c:ext>
              </c:extLst>
            </c:dLbl>
            <c:dLbl>
              <c:idx val="13"/>
              <c:layout>
                <c:manualLayout>
                  <c:x val="0.11391596865266443"/>
                  <c:y val="-0.34543661835731504"/>
                </c:manualLayout>
              </c:layout>
              <c:tx>
                <c:rich>
                  <a:bodyPr/>
                  <a:lstStyle/>
                  <a:p>
                    <a:fld id="{23F8C910-41BA-E84B-B46B-901ECF1769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036-6149-9F65-1F89CD47B5A8}"/>
                </c:ext>
              </c:extLst>
            </c:dLbl>
            <c:dLbl>
              <c:idx val="14"/>
              <c:layout>
                <c:manualLayout>
                  <c:x val="1.5838139647884105E-2"/>
                  <c:y val="-0.14544699720308002"/>
                </c:manualLayout>
              </c:layout>
              <c:tx>
                <c:rich>
                  <a:bodyPr/>
                  <a:lstStyle/>
                  <a:p>
                    <a:fld id="{0A01F2A3-0A8E-CE49-8DD0-3B9D223C9F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036-6149-9F65-1F89CD47B5A8}"/>
                </c:ext>
              </c:extLst>
            </c:dLbl>
            <c:dLbl>
              <c:idx val="15"/>
              <c:layout>
                <c:manualLayout>
                  <c:x val="-0.15115924487376889"/>
                  <c:y val="-0.14999221586567632"/>
                </c:manualLayout>
              </c:layout>
              <c:tx>
                <c:rich>
                  <a:bodyPr/>
                  <a:lstStyle/>
                  <a:p>
                    <a:fld id="{D6219430-E8B8-6B43-AF97-CBB5E76C87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036-6149-9F65-1F89CD47B5A8}"/>
                </c:ext>
              </c:extLst>
            </c:dLbl>
            <c:dLbl>
              <c:idx val="16"/>
              <c:layout>
                <c:manualLayout>
                  <c:x val="-0.27309384309592821"/>
                  <c:y val="0.17271830917865752"/>
                </c:manualLayout>
              </c:layout>
              <c:tx>
                <c:rich>
                  <a:bodyPr/>
                  <a:lstStyle/>
                  <a:p>
                    <a:fld id="{86173D79-40CB-9F4A-9D7E-0A27F595E8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4036-6149-9F65-1F89CD47B5A8}"/>
                </c:ext>
              </c:extLst>
            </c:dLbl>
            <c:dLbl>
              <c:idx val="17"/>
              <c:layout>
                <c:manualLayout>
                  <c:x val="-0.18589775212880527"/>
                  <c:y val="3.2335080179359627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1-4036-6149-9F65-1F89CD47B5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E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'3rd bg284f'!$Q$83:$Q$100</c:f>
                <c:numCache>
                  <c:formatCode>General</c:formatCode>
                  <c:ptCount val="18"/>
                  <c:pt idx="0">
                    <c:v>0.12208000000000002</c:v>
                  </c:pt>
                  <c:pt idx="1">
                    <c:v>0.12436000000000001</c:v>
                  </c:pt>
                  <c:pt idx="2">
                    <c:v>0.12408</c:v>
                  </c:pt>
                  <c:pt idx="3">
                    <c:v>0.13074</c:v>
                  </c:pt>
                  <c:pt idx="4">
                    <c:v>0.13684000000000002</c:v>
                  </c:pt>
                  <c:pt idx="5">
                    <c:v>0.13611999999999999</c:v>
                  </c:pt>
                  <c:pt idx="6">
                    <c:v>0.13980000000000001</c:v>
                  </c:pt>
                  <c:pt idx="7">
                    <c:v>0.15271999999999999</c:v>
                  </c:pt>
                  <c:pt idx="8">
                    <c:v>0.13618</c:v>
                  </c:pt>
                  <c:pt idx="9">
                    <c:v>0.13694000000000001</c:v>
                  </c:pt>
                  <c:pt idx="10">
                    <c:v>0.14982000000000001</c:v>
                  </c:pt>
                  <c:pt idx="11">
                    <c:v>0.15212000000000003</c:v>
                  </c:pt>
                  <c:pt idx="12">
                    <c:v>0.17752000000000001</c:v>
                  </c:pt>
                  <c:pt idx="13">
                    <c:v>0.19040000000000001</c:v>
                  </c:pt>
                  <c:pt idx="14">
                    <c:v>0.18290000000000001</c:v>
                  </c:pt>
                  <c:pt idx="15">
                    <c:v>0.19550000000000001</c:v>
                  </c:pt>
                  <c:pt idx="16">
                    <c:v>0.18580000000000002</c:v>
                  </c:pt>
                  <c:pt idx="17">
                    <c:v>0.21088000000000001</c:v>
                  </c:pt>
                </c:numCache>
              </c:numRef>
            </c:plus>
            <c:minus>
              <c:numRef>
                <c:f>'3rd bg284f'!$Q$83:$Q$100</c:f>
                <c:numCache>
                  <c:formatCode>General</c:formatCode>
                  <c:ptCount val="18"/>
                  <c:pt idx="0">
                    <c:v>0.12208000000000002</c:v>
                  </c:pt>
                  <c:pt idx="1">
                    <c:v>0.12436000000000001</c:v>
                  </c:pt>
                  <c:pt idx="2">
                    <c:v>0.12408</c:v>
                  </c:pt>
                  <c:pt idx="3">
                    <c:v>0.13074</c:v>
                  </c:pt>
                  <c:pt idx="4">
                    <c:v>0.13684000000000002</c:v>
                  </c:pt>
                  <c:pt idx="5">
                    <c:v>0.13611999999999999</c:v>
                  </c:pt>
                  <c:pt idx="6">
                    <c:v>0.13980000000000001</c:v>
                  </c:pt>
                  <c:pt idx="7">
                    <c:v>0.15271999999999999</c:v>
                  </c:pt>
                  <c:pt idx="8">
                    <c:v>0.13618</c:v>
                  </c:pt>
                  <c:pt idx="9">
                    <c:v>0.13694000000000001</c:v>
                  </c:pt>
                  <c:pt idx="10">
                    <c:v>0.14982000000000001</c:v>
                  </c:pt>
                  <c:pt idx="11">
                    <c:v>0.15212000000000003</c:v>
                  </c:pt>
                  <c:pt idx="12">
                    <c:v>0.17752000000000001</c:v>
                  </c:pt>
                  <c:pt idx="13">
                    <c:v>0.19040000000000001</c:v>
                  </c:pt>
                  <c:pt idx="14">
                    <c:v>0.18290000000000001</c:v>
                  </c:pt>
                  <c:pt idx="15">
                    <c:v>0.19550000000000001</c:v>
                  </c:pt>
                  <c:pt idx="16">
                    <c:v>0.18580000000000002</c:v>
                  </c:pt>
                  <c:pt idx="17">
                    <c:v>0.21088000000000001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'3rd bg284f'!$S$83:$S$100</c:f>
                <c:numCache>
                  <c:formatCode>General</c:formatCode>
                  <c:ptCount val="18"/>
                  <c:pt idx="0">
                    <c:v>0.21608000000000002</c:v>
                  </c:pt>
                  <c:pt idx="1">
                    <c:v>0.22270000000000001</c:v>
                  </c:pt>
                  <c:pt idx="2">
                    <c:v>0.21920000000000003</c:v>
                  </c:pt>
                  <c:pt idx="3">
                    <c:v>0.23138000000000003</c:v>
                  </c:pt>
                  <c:pt idx="4">
                    <c:v>0.24068000000000001</c:v>
                  </c:pt>
                  <c:pt idx="5">
                    <c:v>0.24094000000000004</c:v>
                  </c:pt>
                  <c:pt idx="6">
                    <c:v>0.24085999999999999</c:v>
                  </c:pt>
                  <c:pt idx="7">
                    <c:v>0.25452000000000002</c:v>
                  </c:pt>
                  <c:pt idx="8">
                    <c:v>0.23206000000000004</c:v>
                  </c:pt>
                  <c:pt idx="9">
                    <c:v>0.23762</c:v>
                  </c:pt>
                  <c:pt idx="10">
                    <c:v>0.27306000000000002</c:v>
                  </c:pt>
                  <c:pt idx="11">
                    <c:v>0.28188000000000002</c:v>
                  </c:pt>
                  <c:pt idx="12">
                    <c:v>0.29602000000000001</c:v>
                  </c:pt>
                  <c:pt idx="13">
                    <c:v>0.31746000000000002</c:v>
                  </c:pt>
                  <c:pt idx="14">
                    <c:v>0.30124000000000001</c:v>
                  </c:pt>
                  <c:pt idx="15">
                    <c:v>0.30008000000000001</c:v>
                  </c:pt>
                  <c:pt idx="16">
                    <c:v>0.28564000000000001</c:v>
                  </c:pt>
                  <c:pt idx="17">
                    <c:v>0.30870000000000003</c:v>
                  </c:pt>
                </c:numCache>
              </c:numRef>
            </c:plus>
            <c:minus>
              <c:numRef>
                <c:f>'3rd bg284f'!$S$83:$S$100</c:f>
                <c:numCache>
                  <c:formatCode>General</c:formatCode>
                  <c:ptCount val="18"/>
                  <c:pt idx="0">
                    <c:v>0.21608000000000002</c:v>
                  </c:pt>
                  <c:pt idx="1">
                    <c:v>0.22270000000000001</c:v>
                  </c:pt>
                  <c:pt idx="2">
                    <c:v>0.21920000000000003</c:v>
                  </c:pt>
                  <c:pt idx="3">
                    <c:v>0.23138000000000003</c:v>
                  </c:pt>
                  <c:pt idx="4">
                    <c:v>0.24068000000000001</c:v>
                  </c:pt>
                  <c:pt idx="5">
                    <c:v>0.24094000000000004</c:v>
                  </c:pt>
                  <c:pt idx="6">
                    <c:v>0.24085999999999999</c:v>
                  </c:pt>
                  <c:pt idx="7">
                    <c:v>0.25452000000000002</c:v>
                  </c:pt>
                  <c:pt idx="8">
                    <c:v>0.23206000000000004</c:v>
                  </c:pt>
                  <c:pt idx="9">
                    <c:v>0.23762</c:v>
                  </c:pt>
                  <c:pt idx="10">
                    <c:v>0.27306000000000002</c:v>
                  </c:pt>
                  <c:pt idx="11">
                    <c:v>0.28188000000000002</c:v>
                  </c:pt>
                  <c:pt idx="12">
                    <c:v>0.29602000000000001</c:v>
                  </c:pt>
                  <c:pt idx="13">
                    <c:v>0.31746000000000002</c:v>
                  </c:pt>
                  <c:pt idx="14">
                    <c:v>0.30124000000000001</c:v>
                  </c:pt>
                  <c:pt idx="15">
                    <c:v>0.30008000000000001</c:v>
                  </c:pt>
                  <c:pt idx="16">
                    <c:v>0.28564000000000001</c:v>
                  </c:pt>
                  <c:pt idx="17">
                    <c:v>0.30870000000000003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'3rd bg284f'!$P$83:$P$99</c:f>
              <c:numCache>
                <c:formatCode>General</c:formatCode>
                <c:ptCount val="17"/>
                <c:pt idx="0">
                  <c:v>-6.5284000000000111</c:v>
                </c:pt>
                <c:pt idx="1">
                  <c:v>-6.4485999999999883</c:v>
                </c:pt>
                <c:pt idx="2">
                  <c:v>-6.4793999999999876</c:v>
                </c:pt>
                <c:pt idx="3">
                  <c:v>-6.4541999999999922</c:v>
                </c:pt>
                <c:pt idx="4">
                  <c:v>-6.3702000000000227</c:v>
                </c:pt>
                <c:pt idx="5">
                  <c:v>-6.4612000000000087</c:v>
                </c:pt>
                <c:pt idx="6">
                  <c:v>-6.4483999999999924</c:v>
                </c:pt>
                <c:pt idx="7">
                  <c:v>-6.5128000000000164</c:v>
                </c:pt>
                <c:pt idx="8">
                  <c:v>-6.4742000000000193</c:v>
                </c:pt>
                <c:pt idx="9">
                  <c:v>-6.4527999999999794</c:v>
                </c:pt>
                <c:pt idx="10">
                  <c:v>-6.5536000000000065</c:v>
                </c:pt>
                <c:pt idx="11">
                  <c:v>-6.5326000000000022</c:v>
                </c:pt>
                <c:pt idx="12">
                  <c:v>-6.5686000000000151</c:v>
                </c:pt>
                <c:pt idx="13">
                  <c:v>-6.4576000000000029</c:v>
                </c:pt>
                <c:pt idx="14">
                  <c:v>-6.6784000000000106</c:v>
                </c:pt>
                <c:pt idx="15">
                  <c:v>-6.7608000000000175</c:v>
                </c:pt>
                <c:pt idx="16">
                  <c:v>-6.7684000000000202</c:v>
                </c:pt>
              </c:numCache>
            </c:numRef>
          </c:xVal>
          <c:yVal>
            <c:numRef>
              <c:f>'3rd bg284f'!$R$83:$R$99</c:f>
              <c:numCache>
                <c:formatCode>General</c:formatCode>
                <c:ptCount val="17"/>
                <c:pt idx="0">
                  <c:v>-11.321199999999999</c:v>
                </c:pt>
                <c:pt idx="1">
                  <c:v>-11.517399999999999</c:v>
                </c:pt>
                <c:pt idx="2">
                  <c:v>-11.44000000000001</c:v>
                </c:pt>
                <c:pt idx="3">
                  <c:v>-11.533799999999998</c:v>
                </c:pt>
                <c:pt idx="4">
                  <c:v>-11.641799999999989</c:v>
                </c:pt>
                <c:pt idx="5">
                  <c:v>-11.528400000000012</c:v>
                </c:pt>
                <c:pt idx="6">
                  <c:v>-11.460200000000009</c:v>
                </c:pt>
                <c:pt idx="7">
                  <c:v>-11.376600000000009</c:v>
                </c:pt>
                <c:pt idx="8">
                  <c:v>-11.455600000000004</c:v>
                </c:pt>
                <c:pt idx="9">
                  <c:v>-11.493399999999998</c:v>
                </c:pt>
                <c:pt idx="10">
                  <c:v>-11.343599999999993</c:v>
                </c:pt>
                <c:pt idx="11">
                  <c:v>-11.344200000000001</c:v>
                </c:pt>
                <c:pt idx="12">
                  <c:v>-11.245399999999997</c:v>
                </c:pt>
                <c:pt idx="13">
                  <c:v>-11.327600000000007</c:v>
                </c:pt>
                <c:pt idx="14">
                  <c:v>-10.967399999999998</c:v>
                </c:pt>
                <c:pt idx="15">
                  <c:v>-10.87360000000001</c:v>
                </c:pt>
                <c:pt idx="16">
                  <c:v>-10.886799999999994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'3rd bg284f'!$B$83:$B$100</c15:f>
                <c15:dlblRangeCache>
                  <c:ptCount val="18"/>
                  <c:pt idx="0">
                    <c:v>3665</c:v>
                  </c:pt>
                  <c:pt idx="1">
                    <c:v>5000</c:v>
                  </c:pt>
                  <c:pt idx="2">
                    <c:v>10000</c:v>
                  </c:pt>
                  <c:pt idx="3">
                    <c:v>15000</c:v>
                  </c:pt>
                  <c:pt idx="4">
                    <c:v>20000</c:v>
                  </c:pt>
                  <c:pt idx="5">
                    <c:v>25000</c:v>
                  </c:pt>
                  <c:pt idx="6">
                    <c:v>30000</c:v>
                  </c:pt>
                  <c:pt idx="7">
                    <c:v>35000</c:v>
                  </c:pt>
                  <c:pt idx="8">
                    <c:v>40000</c:v>
                  </c:pt>
                  <c:pt idx="9">
                    <c:v>45000</c:v>
                  </c:pt>
                  <c:pt idx="10">
                    <c:v>50000</c:v>
                  </c:pt>
                  <c:pt idx="11">
                    <c:v>55000</c:v>
                  </c:pt>
                  <c:pt idx="12">
                    <c:v>60000</c:v>
                  </c:pt>
                  <c:pt idx="13">
                    <c:v>65000</c:v>
                  </c:pt>
                  <c:pt idx="14">
                    <c:v>70000</c:v>
                  </c:pt>
                  <c:pt idx="15">
                    <c:v>75000</c:v>
                  </c:pt>
                  <c:pt idx="16">
                    <c:v>80000</c:v>
                  </c:pt>
                  <c:pt idx="17">
                    <c:v>85000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CEE5-594F-AA70-A1F0509E61F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4957599"/>
        <c:axId val="1997796431"/>
      </c:scatterChart>
      <c:valAx>
        <c:axId val="2044957599"/>
        <c:scaling>
          <c:orientation val="minMax"/>
          <c:max val="-6.2"/>
          <c:min val="-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1997796431"/>
        <c:crosses val="autoZero"/>
        <c:crossBetween val="midCat"/>
      </c:valAx>
      <c:valAx>
        <c:axId val="1997796431"/>
        <c:scaling>
          <c:orientation val="minMax"/>
          <c:max val="-10.55"/>
          <c:min val="-11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2044957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/>
                </a:solidFill>
              </a:rPr>
              <a:t>3. MaNGA 1-19818 </a:t>
            </a:r>
            <a:r>
              <a:rPr lang="en-US"/>
              <a:t>Spectral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triangle"/>
              <c:size val="10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18C-4F4F-90B8-7460FAA2A45E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'3rd bg284f'!$AD$6:$AD$24</c:f>
                <c:numCache>
                  <c:formatCode>General</c:formatCode>
                  <c:ptCount val="19"/>
                  <c:pt idx="0">
                    <c:v>0.12397433869745761</c:v>
                  </c:pt>
                  <c:pt idx="1">
                    <c:v>0.13130630385651337</c:v>
                  </c:pt>
                  <c:pt idx="2">
                    <c:v>0.14667231113215604</c:v>
                  </c:pt>
                  <c:pt idx="3">
                    <c:v>0.17200040307174341</c:v>
                  </c:pt>
                  <c:pt idx="4">
                    <c:v>0.12240922240295037</c:v>
                  </c:pt>
                  <c:pt idx="5">
                    <c:v>0.12588352188078317</c:v>
                  </c:pt>
                  <c:pt idx="7">
                    <c:v>0.27941858880003129</c:v>
                  </c:pt>
                  <c:pt idx="8">
                    <c:v>0.27935446475323145</c:v>
                  </c:pt>
                </c:numCache>
              </c:numRef>
            </c:plus>
            <c:minus>
              <c:numRef>
                <c:f>'3rd bg284f'!$AD$6:$AD$24</c:f>
                <c:numCache>
                  <c:formatCode>General</c:formatCode>
                  <c:ptCount val="19"/>
                  <c:pt idx="0">
                    <c:v>0.12397433869745761</c:v>
                  </c:pt>
                  <c:pt idx="1">
                    <c:v>0.13130630385651337</c:v>
                  </c:pt>
                  <c:pt idx="2">
                    <c:v>0.14667231113215604</c:v>
                  </c:pt>
                  <c:pt idx="3">
                    <c:v>0.17200040307174341</c:v>
                  </c:pt>
                  <c:pt idx="4">
                    <c:v>0.12240922240295037</c:v>
                  </c:pt>
                  <c:pt idx="5">
                    <c:v>0.12588352188078317</c:v>
                  </c:pt>
                  <c:pt idx="7">
                    <c:v>0.27941858880003129</c:v>
                  </c:pt>
                  <c:pt idx="8">
                    <c:v>0.27935446475323145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'3rd bg284f'!$AB$6:$AB$10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</c:numCache>
            </c:numRef>
          </c:xVal>
          <c:yVal>
            <c:numRef>
              <c:f>'3rd bg284f'!$AC$6:$AC$10</c:f>
              <c:numCache>
                <c:formatCode>General</c:formatCode>
                <c:ptCount val="5"/>
                <c:pt idx="0">
                  <c:v>-1.1366136794120059</c:v>
                </c:pt>
                <c:pt idx="1">
                  <c:v>-1.2495449394345419</c:v>
                </c:pt>
                <c:pt idx="2">
                  <c:v>-1.0852655810003551</c:v>
                </c:pt>
                <c:pt idx="3">
                  <c:v>-1.0247550715340668</c:v>
                </c:pt>
                <c:pt idx="4">
                  <c:v>-0.56837981745800903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CD-5C4B-B1D4-BE2D12ECF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079024"/>
        <c:axId val="515187696"/>
      </c:scatterChart>
      <c:valAx>
        <c:axId val="832079024"/>
        <c:scaling>
          <c:orientation val="minMax"/>
          <c:max val="41000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515187696"/>
        <c:crosses val="autoZero"/>
        <c:crossBetween val="midCat"/>
      </c:valAx>
      <c:valAx>
        <c:axId val="51518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83207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0" i="0" u="none" strike="noStrike" kern="1200" baseline="0">
                <a:solidFill>
                  <a:srgbClr val="000000"/>
                </a:solidFill>
              </a:rPr>
              <a:t>4. MaNGA 1-43718 (bg284g)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C-Band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</c:spPr>
          </c:marker>
          <c:dPt>
            <c:idx val="1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1A-5E4C-B140-9E13-F47A506A8824}"/>
              </c:ext>
            </c:extLst>
          </c:dPt>
          <c:dPt>
            <c:idx val="2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19-5E4C-B140-9E13-F47A506A8824}"/>
              </c:ext>
            </c:extLst>
          </c:dPt>
          <c:dPt>
            <c:idx val="3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18-5E4C-B140-9E13-F47A506A8824}"/>
              </c:ext>
            </c:extLst>
          </c:dPt>
          <c:dPt>
            <c:idx val="4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17-5E4C-B140-9E13-F47A506A8824}"/>
              </c:ext>
            </c:extLst>
          </c:dPt>
          <c:dPt>
            <c:idx val="5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16-5E4C-B140-9E13-F47A506A8824}"/>
              </c:ext>
            </c:extLst>
          </c:dPt>
          <c:dPt>
            <c:idx val="6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15-5E4C-B140-9E13-F47A506A8824}"/>
              </c:ext>
            </c:extLst>
          </c:dPt>
          <c:dPt>
            <c:idx val="7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14-5E4C-B140-9E13-F47A506A8824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0-5E4C-B140-9E13-F47A506A8824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1-5E4C-B140-9E13-F47A506A8824}"/>
              </c:ext>
            </c:extLst>
          </c:dPt>
          <c:dPt>
            <c:idx val="2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E4C-B140-9E13-F47A506A8824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'4th bg284g'!$I$4:$I$26</c:f>
                <c:numCache>
                  <c:formatCode>General</c:formatCode>
                  <c:ptCount val="23"/>
                  <c:pt idx="1">
                    <c:v>5.5600000000000004E-2</c:v>
                  </c:pt>
                  <c:pt idx="2">
                    <c:v>5.6899999999999999E-2</c:v>
                  </c:pt>
                  <c:pt idx="3">
                    <c:v>5.74E-2</c:v>
                  </c:pt>
                  <c:pt idx="4">
                    <c:v>5.9200000000000003E-2</c:v>
                  </c:pt>
                  <c:pt idx="5">
                    <c:v>5.6899999999999999E-2</c:v>
                  </c:pt>
                  <c:pt idx="6">
                    <c:v>5.4500000000000007E-2</c:v>
                  </c:pt>
                  <c:pt idx="7">
                    <c:v>4.5599999999999995E-2</c:v>
                  </c:pt>
                  <c:pt idx="8">
                    <c:v>2.41E-2</c:v>
                  </c:pt>
                  <c:pt idx="9">
                    <c:v>2.47E-2</c:v>
                  </c:pt>
                  <c:pt idx="10">
                    <c:v>2.53E-2</c:v>
                  </c:pt>
                  <c:pt idx="12">
                    <c:v>2.6200000000000001E-2</c:v>
                  </c:pt>
                  <c:pt idx="13">
                    <c:v>2.81E-2</c:v>
                  </c:pt>
                  <c:pt idx="14">
                    <c:v>2.8900000000000002E-2</c:v>
                  </c:pt>
                  <c:pt idx="15">
                    <c:v>3.3599999999999998E-2</c:v>
                  </c:pt>
                  <c:pt idx="16">
                    <c:v>3.2399999999999998E-2</c:v>
                  </c:pt>
                  <c:pt idx="17">
                    <c:v>3.4700000000000002E-2</c:v>
                  </c:pt>
                  <c:pt idx="18">
                    <c:v>3.6399999999999995E-2</c:v>
                  </c:pt>
                  <c:pt idx="19">
                    <c:v>4.3000000000000003E-2</c:v>
                  </c:pt>
                  <c:pt idx="20">
                    <c:v>0</c:v>
                  </c:pt>
                </c:numCache>
              </c:numRef>
            </c:plus>
            <c:minus>
              <c:numRef>
                <c:f>'4th bg284g'!$I$4:$I$26</c:f>
                <c:numCache>
                  <c:formatCode>General</c:formatCode>
                  <c:ptCount val="23"/>
                  <c:pt idx="1">
                    <c:v>5.5600000000000004E-2</c:v>
                  </c:pt>
                  <c:pt idx="2">
                    <c:v>5.6899999999999999E-2</c:v>
                  </c:pt>
                  <c:pt idx="3">
                    <c:v>5.74E-2</c:v>
                  </c:pt>
                  <c:pt idx="4">
                    <c:v>5.9200000000000003E-2</c:v>
                  </c:pt>
                  <c:pt idx="5">
                    <c:v>5.6899999999999999E-2</c:v>
                  </c:pt>
                  <c:pt idx="6">
                    <c:v>5.4500000000000007E-2</c:v>
                  </c:pt>
                  <c:pt idx="7">
                    <c:v>4.5599999999999995E-2</c:v>
                  </c:pt>
                  <c:pt idx="8">
                    <c:v>2.41E-2</c:v>
                  </c:pt>
                  <c:pt idx="9">
                    <c:v>2.47E-2</c:v>
                  </c:pt>
                  <c:pt idx="10">
                    <c:v>2.53E-2</c:v>
                  </c:pt>
                  <c:pt idx="12">
                    <c:v>2.6200000000000001E-2</c:v>
                  </c:pt>
                  <c:pt idx="13">
                    <c:v>2.81E-2</c:v>
                  </c:pt>
                  <c:pt idx="14">
                    <c:v>2.8900000000000002E-2</c:v>
                  </c:pt>
                  <c:pt idx="15">
                    <c:v>3.3599999999999998E-2</c:v>
                  </c:pt>
                  <c:pt idx="16">
                    <c:v>3.2399999999999998E-2</c:v>
                  </c:pt>
                  <c:pt idx="17">
                    <c:v>3.4700000000000002E-2</c:v>
                  </c:pt>
                  <c:pt idx="18">
                    <c:v>3.6399999999999995E-2</c:v>
                  </c:pt>
                  <c:pt idx="19">
                    <c:v>4.3000000000000003E-2</c:v>
                  </c:pt>
                  <c:pt idx="20">
                    <c:v>0</c:v>
                  </c:pt>
                </c:numCache>
              </c:numRef>
            </c:minus>
          </c:errBars>
          <c:xVal>
            <c:numRef>
              <c:f>'4th bg284g'!$B$4:$B$24</c:f>
              <c:numCache>
                <c:formatCode>General</c:formatCode>
                <c:ptCount val="21"/>
                <c:pt idx="0">
                  <c:v>1100</c:v>
                </c:pt>
                <c:pt idx="1">
                  <c:v>3620</c:v>
                </c:pt>
                <c:pt idx="2">
                  <c:v>4000</c:v>
                </c:pt>
                <c:pt idx="3">
                  <c:v>7500</c:v>
                </c:pt>
                <c:pt idx="4">
                  <c:v>10000</c:v>
                </c:pt>
                <c:pt idx="5">
                  <c:v>15000</c:v>
                </c:pt>
                <c:pt idx="6">
                  <c:v>20000</c:v>
                </c:pt>
                <c:pt idx="7">
                  <c:v>25000</c:v>
                </c:pt>
                <c:pt idx="8">
                  <c:v>30000</c:v>
                </c:pt>
                <c:pt idx="9">
                  <c:v>35000</c:v>
                </c:pt>
                <c:pt idx="10">
                  <c:v>40000</c:v>
                </c:pt>
                <c:pt idx="11">
                  <c:v>43000</c:v>
                </c:pt>
                <c:pt idx="12">
                  <c:v>45000</c:v>
                </c:pt>
                <c:pt idx="13">
                  <c:v>50000</c:v>
                </c:pt>
                <c:pt idx="14">
                  <c:v>55000</c:v>
                </c:pt>
                <c:pt idx="15">
                  <c:v>60000</c:v>
                </c:pt>
                <c:pt idx="16">
                  <c:v>65000</c:v>
                </c:pt>
                <c:pt idx="17">
                  <c:v>70000</c:v>
                </c:pt>
                <c:pt idx="18">
                  <c:v>75000</c:v>
                </c:pt>
                <c:pt idx="19">
                  <c:v>80000</c:v>
                </c:pt>
                <c:pt idx="20">
                  <c:v>85000</c:v>
                </c:pt>
              </c:numCache>
            </c:numRef>
          </c:xVal>
          <c:yVal>
            <c:numRef>
              <c:f>'4th bg284g'!$H$4:$H$24</c:f>
              <c:numCache>
                <c:formatCode>General</c:formatCode>
                <c:ptCount val="21"/>
                <c:pt idx="1">
                  <c:v>1.2746000000000002</c:v>
                </c:pt>
                <c:pt idx="2">
                  <c:v>1.2145999999999999</c:v>
                </c:pt>
                <c:pt idx="3">
                  <c:v>1.2231000000000001</c:v>
                </c:pt>
                <c:pt idx="4">
                  <c:v>1.2635999999999998</c:v>
                </c:pt>
                <c:pt idx="5">
                  <c:v>1.1838</c:v>
                </c:pt>
                <c:pt idx="6">
                  <c:v>1.0023</c:v>
                </c:pt>
                <c:pt idx="7">
                  <c:v>0.63650999999999991</c:v>
                </c:pt>
                <c:pt idx="8">
                  <c:v>0.42479</c:v>
                </c:pt>
                <c:pt idx="9">
                  <c:v>0.45482</c:v>
                </c:pt>
                <c:pt idx="10">
                  <c:v>0.44830999999999999</c:v>
                </c:pt>
                <c:pt idx="12">
                  <c:v>0.43608999999999998</c:v>
                </c:pt>
                <c:pt idx="13">
                  <c:v>0.34183000000000002</c:v>
                </c:pt>
                <c:pt idx="14">
                  <c:v>0.30903999999999998</c:v>
                </c:pt>
                <c:pt idx="15">
                  <c:v>0.23532</c:v>
                </c:pt>
                <c:pt idx="16">
                  <c:v>0.23135</c:v>
                </c:pt>
                <c:pt idx="17">
                  <c:v>0.32822000000000001</c:v>
                </c:pt>
                <c:pt idx="18">
                  <c:v>0.3165</c:v>
                </c:pt>
                <c:pt idx="19">
                  <c:v>0.28129999999999999</c:v>
                </c:pt>
                <c:pt idx="20">
                  <c:v>0.16335000000000002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4C-B140-9E13-F47A506A8824}"/>
            </c:ext>
          </c:extLst>
        </c:ser>
        <c:ser>
          <c:idx val="0"/>
          <c:order val="1"/>
          <c:tx>
            <c:v>L-Band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>
                <a:noFill/>
              </a:ln>
            </c:spPr>
          </c:marker>
          <c:dPt>
            <c:idx val="0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5-5E4C-B140-9E13-F47A506A882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6-5E4C-B140-9E13-F47A506A8824}"/>
              </c:ext>
            </c:extLst>
          </c:dPt>
          <c:dPt>
            <c:idx val="2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7-5E4C-B140-9E13-F47A506A882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8-5E4C-B140-9E13-F47A506A882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5E4C-B140-9E13-F47A506A8824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A-5E4C-B140-9E13-F47A506A8824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B-5E4C-B140-9E13-F47A506A8824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C-5E4C-B140-9E13-F47A506A8824}"/>
              </c:ext>
            </c:extLst>
          </c:dPt>
          <c:dPt>
            <c:idx val="8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E4C-B140-9E13-F47A506A8824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E-5E4C-B140-9E13-F47A506A8824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F-5E4C-B140-9E13-F47A506A8824}"/>
              </c:ext>
            </c:extLst>
          </c:dPt>
          <c:dPt>
            <c:idx val="11"/>
            <c:marker>
              <c:spPr>
                <a:solidFill>
                  <a:schemeClr val="accent5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5E4C-B140-9E13-F47A506A8824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'4th bg284g'!$D$4:$D$12</c:f>
                <c:numCache>
                  <c:formatCode>General</c:formatCode>
                  <c:ptCount val="9"/>
                  <c:pt idx="0">
                    <c:v>6.2199999999999991E-2</c:v>
                  </c:pt>
                  <c:pt idx="2">
                    <c:v>6.2399999999999997E-2</c:v>
                  </c:pt>
                  <c:pt idx="3">
                    <c:v>3.3000000000000002E-2</c:v>
                  </c:pt>
                  <c:pt idx="4">
                    <c:v>3.7999999999999999E-2</c:v>
                  </c:pt>
                  <c:pt idx="5">
                    <c:v>4.7E-2</c:v>
                  </c:pt>
                  <c:pt idx="6">
                    <c:v>6.1400000000000003E-2</c:v>
                  </c:pt>
                  <c:pt idx="7">
                    <c:v>8.7399999999999992E-2</c:v>
                  </c:pt>
                  <c:pt idx="8">
                    <c:v>0</c:v>
                  </c:pt>
                </c:numCache>
              </c:numRef>
            </c:plus>
            <c:minus>
              <c:numRef>
                <c:f>'4th bg284g'!$D$4:$D$12</c:f>
                <c:numCache>
                  <c:formatCode>General</c:formatCode>
                  <c:ptCount val="9"/>
                  <c:pt idx="0">
                    <c:v>6.2199999999999991E-2</c:v>
                  </c:pt>
                  <c:pt idx="2">
                    <c:v>6.2399999999999997E-2</c:v>
                  </c:pt>
                  <c:pt idx="3">
                    <c:v>3.3000000000000002E-2</c:v>
                  </c:pt>
                  <c:pt idx="4">
                    <c:v>3.7999999999999999E-2</c:v>
                  </c:pt>
                  <c:pt idx="5">
                    <c:v>4.7E-2</c:v>
                  </c:pt>
                  <c:pt idx="6">
                    <c:v>6.1400000000000003E-2</c:v>
                  </c:pt>
                  <c:pt idx="7">
                    <c:v>8.7399999999999992E-2</c:v>
                  </c:pt>
                  <c:pt idx="8">
                    <c:v>0</c:v>
                  </c:pt>
                </c:numCache>
              </c:numRef>
            </c:minus>
          </c:errBars>
          <c:xVal>
            <c:numRef>
              <c:f>'4th bg284g'!$B$4:$B$12</c:f>
              <c:numCache>
                <c:formatCode>General</c:formatCode>
                <c:ptCount val="9"/>
                <c:pt idx="0">
                  <c:v>1100</c:v>
                </c:pt>
                <c:pt idx="1">
                  <c:v>3620</c:v>
                </c:pt>
                <c:pt idx="2">
                  <c:v>4000</c:v>
                </c:pt>
                <c:pt idx="3">
                  <c:v>7500</c:v>
                </c:pt>
                <c:pt idx="4">
                  <c:v>10000</c:v>
                </c:pt>
                <c:pt idx="5">
                  <c:v>15000</c:v>
                </c:pt>
                <c:pt idx="6">
                  <c:v>20000</c:v>
                </c:pt>
                <c:pt idx="7">
                  <c:v>25000</c:v>
                </c:pt>
                <c:pt idx="8">
                  <c:v>30000</c:v>
                </c:pt>
              </c:numCache>
            </c:numRef>
          </c:xVal>
          <c:yVal>
            <c:numRef>
              <c:f>'4th bg284g'!$C$4:$C$12</c:f>
              <c:numCache>
                <c:formatCode>General</c:formatCode>
                <c:ptCount val="9"/>
                <c:pt idx="0">
                  <c:v>1.8236999999999999</c:v>
                </c:pt>
                <c:pt idx="2">
                  <c:v>1.8864000000000001</c:v>
                </c:pt>
                <c:pt idx="3">
                  <c:v>1.3760000000000001</c:v>
                </c:pt>
                <c:pt idx="4">
                  <c:v>1.2889999999999999</c:v>
                </c:pt>
                <c:pt idx="5">
                  <c:v>1.1447000000000001</c:v>
                </c:pt>
                <c:pt idx="6">
                  <c:v>1.0980000000000001</c:v>
                </c:pt>
                <c:pt idx="7">
                  <c:v>0.97725000000000006</c:v>
                </c:pt>
                <c:pt idx="8">
                  <c:v>0.318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E4C-B140-9E13-F47A506A8824}"/>
            </c:ext>
          </c:extLst>
        </c:ser>
        <c:ser>
          <c:idx val="1"/>
          <c:order val="2"/>
          <c:tx>
            <c:v>L-band RMS</c:v>
          </c:tx>
          <c:spPr>
            <a:ln w="19050">
              <a:noFill/>
            </a:ln>
          </c:spPr>
          <c:marker>
            <c:symbol val="diamond"/>
            <c:size val="6"/>
            <c:spPr>
              <a:solidFill>
                <a:schemeClr val="accent5">
                  <a:lumMod val="60000"/>
                  <a:lumOff val="40000"/>
                </a:schemeClr>
              </a:solidFill>
            </c:spPr>
          </c:marker>
          <c:xVal>
            <c:numRef>
              <c:f>'4th bg284g'!$B$4:$B$11</c:f>
              <c:numCache>
                <c:formatCode>General</c:formatCode>
                <c:ptCount val="8"/>
                <c:pt idx="0">
                  <c:v>1100</c:v>
                </c:pt>
                <c:pt idx="1">
                  <c:v>3620</c:v>
                </c:pt>
                <c:pt idx="2">
                  <c:v>4000</c:v>
                </c:pt>
                <c:pt idx="3">
                  <c:v>7500</c:v>
                </c:pt>
                <c:pt idx="4">
                  <c:v>10000</c:v>
                </c:pt>
                <c:pt idx="5">
                  <c:v>15000</c:v>
                </c:pt>
                <c:pt idx="6">
                  <c:v>20000</c:v>
                </c:pt>
                <c:pt idx="7">
                  <c:v>25000</c:v>
                </c:pt>
              </c:numCache>
            </c:numRef>
          </c:xVal>
          <c:yVal>
            <c:numRef>
              <c:f>'4th bg284g'!$F$4:$F$12</c:f>
              <c:numCache>
                <c:formatCode>General</c:formatCode>
                <c:ptCount val="9"/>
                <c:pt idx="0">
                  <c:v>2.8900000000000002E-2</c:v>
                </c:pt>
                <c:pt idx="2">
                  <c:v>3.0840000000000003E-2</c:v>
                </c:pt>
                <c:pt idx="3">
                  <c:v>3.177E-2</c:v>
                </c:pt>
                <c:pt idx="4">
                  <c:v>3.8580000000000003E-2</c:v>
                </c:pt>
                <c:pt idx="5">
                  <c:v>4.505E-2</c:v>
                </c:pt>
                <c:pt idx="6">
                  <c:v>5.6320000000000002E-2</c:v>
                </c:pt>
                <c:pt idx="7">
                  <c:v>8.3599999999999994E-2</c:v>
                </c:pt>
                <c:pt idx="8">
                  <c:v>0.106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E4C-B140-9E13-F47A506A8824}"/>
            </c:ext>
          </c:extLst>
        </c:ser>
        <c:ser>
          <c:idx val="3"/>
          <c:order val="3"/>
          <c:tx>
            <c:v>C-Band RMS</c:v>
          </c:tx>
          <c:spPr>
            <a:ln w="19050">
              <a:noFill/>
            </a:ln>
          </c:spPr>
          <c:marker>
            <c:symbol val="diamond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'4th bg284g'!$B$4:$B$24</c:f>
              <c:numCache>
                <c:formatCode>General</c:formatCode>
                <c:ptCount val="21"/>
                <c:pt idx="0">
                  <c:v>1100</c:v>
                </c:pt>
                <c:pt idx="1">
                  <c:v>3620</c:v>
                </c:pt>
                <c:pt idx="2">
                  <c:v>4000</c:v>
                </c:pt>
                <c:pt idx="3">
                  <c:v>7500</c:v>
                </c:pt>
                <c:pt idx="4">
                  <c:v>10000</c:v>
                </c:pt>
                <c:pt idx="5">
                  <c:v>15000</c:v>
                </c:pt>
                <c:pt idx="6">
                  <c:v>20000</c:v>
                </c:pt>
                <c:pt idx="7">
                  <c:v>25000</c:v>
                </c:pt>
                <c:pt idx="8">
                  <c:v>30000</c:v>
                </c:pt>
                <c:pt idx="9">
                  <c:v>35000</c:v>
                </c:pt>
                <c:pt idx="10">
                  <c:v>40000</c:v>
                </c:pt>
                <c:pt idx="11">
                  <c:v>43000</c:v>
                </c:pt>
                <c:pt idx="12">
                  <c:v>45000</c:v>
                </c:pt>
                <c:pt idx="13">
                  <c:v>50000</c:v>
                </c:pt>
                <c:pt idx="14">
                  <c:v>55000</c:v>
                </c:pt>
                <c:pt idx="15">
                  <c:v>60000</c:v>
                </c:pt>
                <c:pt idx="16">
                  <c:v>65000</c:v>
                </c:pt>
                <c:pt idx="17">
                  <c:v>70000</c:v>
                </c:pt>
                <c:pt idx="18">
                  <c:v>75000</c:v>
                </c:pt>
                <c:pt idx="19">
                  <c:v>80000</c:v>
                </c:pt>
                <c:pt idx="20">
                  <c:v>85000</c:v>
                </c:pt>
              </c:numCache>
            </c:numRef>
          </c:xVal>
          <c:yVal>
            <c:numRef>
              <c:f>'4th bg284g'!$K$4:$K$26</c:f>
              <c:numCache>
                <c:formatCode>General</c:formatCode>
                <c:ptCount val="23"/>
                <c:pt idx="1">
                  <c:v>2.1480000000000003E-2</c:v>
                </c:pt>
                <c:pt idx="2">
                  <c:v>2.3220000000000001E-2</c:v>
                </c:pt>
                <c:pt idx="3">
                  <c:v>2.3309999999999997E-2</c:v>
                </c:pt>
                <c:pt idx="4">
                  <c:v>2.3300000000000001E-2</c:v>
                </c:pt>
                <c:pt idx="5">
                  <c:v>2.3620000000000002E-2</c:v>
                </c:pt>
                <c:pt idx="6">
                  <c:v>2.2540000000000001E-2</c:v>
                </c:pt>
                <c:pt idx="7">
                  <c:v>2.2770000000000002E-2</c:v>
                </c:pt>
                <c:pt idx="8">
                  <c:v>2.444E-2</c:v>
                </c:pt>
                <c:pt idx="9">
                  <c:v>2.5649999999999999E-2</c:v>
                </c:pt>
                <c:pt idx="10">
                  <c:v>2.683E-2</c:v>
                </c:pt>
                <c:pt idx="12">
                  <c:v>2.6769999999999999E-2</c:v>
                </c:pt>
                <c:pt idx="13">
                  <c:v>2.8469999999999999E-2</c:v>
                </c:pt>
                <c:pt idx="14">
                  <c:v>2.8880000000000003E-2</c:v>
                </c:pt>
                <c:pt idx="15">
                  <c:v>2.9349999999999998E-2</c:v>
                </c:pt>
                <c:pt idx="16">
                  <c:v>3.3139999999999996E-2</c:v>
                </c:pt>
                <c:pt idx="17">
                  <c:v>3.5970000000000002E-2</c:v>
                </c:pt>
                <c:pt idx="18">
                  <c:v>3.9379999999999998E-2</c:v>
                </c:pt>
                <c:pt idx="19">
                  <c:v>4.7059999999999998E-2</c:v>
                </c:pt>
                <c:pt idx="20">
                  <c:v>5.4450000000000005E-2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E4C-B140-9E13-F47A506A8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09363"/>
        <c:axId val="904966794"/>
      </c:scatterChart>
      <c:valAx>
        <c:axId val="49509363"/>
        <c:scaling>
          <c:orientation val="minMax"/>
          <c:max val="86000"/>
          <c:min val="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b_min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E"/>
          </a:p>
        </c:txPr>
        <c:crossAx val="904966794"/>
        <c:crosses val="autoZero"/>
        <c:crossBetween val="midCat"/>
        <c:majorUnit val="10000"/>
      </c:valAx>
      <c:valAx>
        <c:axId val="904966794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Flux milliJy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E"/>
          </a:p>
        </c:txPr>
        <c:crossAx val="49509363"/>
        <c:crosses val="autoZero"/>
        <c:crossBetween val="midCat"/>
        <c:majorUnit val="0.1"/>
      </c:valAx>
    </c:plotArea>
    <c:legend>
      <c:legendPos val="b"/>
      <c:overlay val="0"/>
    </c:legend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4. MaNGA 1-43718 Spectral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6"/>
            <c:marker>
              <c:symbol val="triangle"/>
              <c:size val="10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70F-5C4F-B012-1208D7F5302B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'4th bg284g'!$AD$6:$AD$14</c:f>
                <c:numCache>
                  <c:formatCode>General</c:formatCode>
                  <c:ptCount val="9"/>
                  <c:pt idx="0">
                    <c:v>4.6543502376661022E-2</c:v>
                  </c:pt>
                  <c:pt idx="1">
                    <c:v>4.2773231379871837E-2</c:v>
                  </c:pt>
                  <c:pt idx="2">
                    <c:v>4.4924703299857885E-2</c:v>
                  </c:pt>
                  <c:pt idx="3">
                    <c:v>5.1304800040831849E-2</c:v>
                  </c:pt>
                  <c:pt idx="4">
                    <c:v>6.3302557132939238E-2</c:v>
                  </c:pt>
                  <c:pt idx="5">
                    <c:v>9.3000770107055875E-2</c:v>
                  </c:pt>
                  <c:pt idx="6">
                    <c:v>4.6044886195656817E-2</c:v>
                  </c:pt>
                </c:numCache>
              </c:numRef>
            </c:plus>
            <c:minus>
              <c:numRef>
                <c:f>'4th bg284g'!$AD$6:$AD$14</c:f>
                <c:numCache>
                  <c:formatCode>General</c:formatCode>
                  <c:ptCount val="9"/>
                  <c:pt idx="0">
                    <c:v>4.6543502376661022E-2</c:v>
                  </c:pt>
                  <c:pt idx="1">
                    <c:v>4.2773231379871837E-2</c:v>
                  </c:pt>
                  <c:pt idx="2">
                    <c:v>4.4924703299857885E-2</c:v>
                  </c:pt>
                  <c:pt idx="3">
                    <c:v>5.1304800040831849E-2</c:v>
                  </c:pt>
                  <c:pt idx="4">
                    <c:v>6.3302557132939238E-2</c:v>
                  </c:pt>
                  <c:pt idx="5">
                    <c:v>9.3000770107055875E-2</c:v>
                  </c:pt>
                  <c:pt idx="6">
                    <c:v>4.6044886195656817E-2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'4th bg284g'!$AB$6:$AB$12</c:f>
              <c:numCache>
                <c:formatCode>General</c:formatCode>
                <c:ptCount val="7"/>
                <c:pt idx="0">
                  <c:v>4000</c:v>
                </c:pt>
                <c:pt idx="1">
                  <c:v>7500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</c:numCache>
            </c:numRef>
          </c:xVal>
          <c:yVal>
            <c:numRef>
              <c:f>'4th bg284g'!$AC$6:$AC$12</c:f>
              <c:numCache>
                <c:formatCode>General</c:formatCode>
                <c:ptCount val="7"/>
                <c:pt idx="0">
                  <c:v>-0.35730852903272053</c:v>
                </c:pt>
                <c:pt idx="1">
                  <c:v>-9.5599337795083075E-2</c:v>
                </c:pt>
                <c:pt idx="2">
                  <c:v>-1.6152283466144474E-2</c:v>
                </c:pt>
                <c:pt idx="3">
                  <c:v>2.7259003833836972E-2</c:v>
                </c:pt>
                <c:pt idx="4">
                  <c:v>-7.4011647686238691E-2</c:v>
                </c:pt>
                <c:pt idx="5">
                  <c:v>-0.34796459405622177</c:v>
                </c:pt>
                <c:pt idx="6">
                  <c:v>0.23499170654924798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26-D24E-89CF-CEF076C0C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079024"/>
        <c:axId val="515187696"/>
      </c:scatterChart>
      <c:valAx>
        <c:axId val="832079024"/>
        <c:scaling>
          <c:orientation val="minMax"/>
          <c:max val="41000"/>
          <c:min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515187696"/>
        <c:crosses val="autoZero"/>
        <c:crossBetween val="midCat"/>
      </c:valAx>
      <c:valAx>
        <c:axId val="51518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83207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/>
                </a:solidFill>
              </a:rPr>
              <a:t>4. MaNGA 1-43718 </a:t>
            </a:r>
            <a:r>
              <a:rPr lang="en-US"/>
              <a:t>X vs Y</a:t>
            </a:r>
            <a:r>
              <a:rPr lang="en-US" baseline="0"/>
              <a:t> positions L-Band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bg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9696A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92D-B846-8DDC-7B338CB0C11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9806F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92D-B846-8DDC-7B338CB0C11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A9F76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92D-B846-8DDC-7B338CB0C11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CBD7B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92D-B846-8DDC-7B338CB0C11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ED07D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92D-B846-8DDC-7B338CB0C11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EC84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92D-B846-8DDC-7B338CB0C11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CCDE82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92D-B846-8DDC-7B338CB0C11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BCD88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92D-B846-8DDC-7B338CB0C11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86C97D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92D-B846-8DDC-7B338CB0C11F}"/>
              </c:ext>
            </c:extLst>
          </c:dPt>
          <c:dLbls>
            <c:dLbl>
              <c:idx val="0"/>
              <c:layout>
                <c:manualLayout>
                  <c:x val="-5.1530057949315769E-2"/>
                  <c:y val="-0.12043477630022997"/>
                </c:manualLayout>
              </c:layout>
              <c:tx>
                <c:rich>
                  <a:bodyPr/>
                  <a:lstStyle/>
                  <a:p>
                    <a:fld id="{E00C31DD-4F33-984D-B3BA-2912E58456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92D-B846-8DDC-7B338CB0C11F}"/>
                </c:ext>
              </c:extLst>
            </c:dLbl>
            <c:dLbl>
              <c:idx val="1"/>
              <c:layout>
                <c:manualLayout>
                  <c:x val="-0.11185052037609711"/>
                  <c:y val="-7.7689149092069934E-2"/>
                </c:manualLayout>
              </c:layout>
              <c:tx>
                <c:rich>
                  <a:bodyPr/>
                  <a:lstStyle/>
                  <a:p>
                    <a:fld id="{6BA7F5B4-5DEB-4144-8466-B0D57C7A36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92D-B846-8DDC-7B338CB0C11F}"/>
                </c:ext>
              </c:extLst>
            </c:dLbl>
            <c:dLbl>
              <c:idx val="2"/>
              <c:layout>
                <c:manualLayout>
                  <c:x val="3.8382715714711607E-2"/>
                  <c:y val="-9.4861470825081076E-2"/>
                </c:manualLayout>
              </c:layout>
              <c:tx>
                <c:rich>
                  <a:bodyPr/>
                  <a:lstStyle/>
                  <a:p>
                    <a:fld id="{4570A60C-9633-A844-96E1-3DAC751FD6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92D-B846-8DDC-7B338CB0C11F}"/>
                </c:ext>
              </c:extLst>
            </c:dLbl>
            <c:dLbl>
              <c:idx val="3"/>
              <c:layout>
                <c:manualLayout>
                  <c:x val="-0.1141897626350987"/>
                  <c:y val="-7.1853802569627326E-2"/>
                </c:manualLayout>
              </c:layout>
              <c:tx>
                <c:rich>
                  <a:bodyPr/>
                  <a:lstStyle/>
                  <a:p>
                    <a:fld id="{331187F6-6148-BC49-8102-B5CA6EBE18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92D-B846-8DDC-7B338CB0C11F}"/>
                </c:ext>
              </c:extLst>
            </c:dLbl>
            <c:dLbl>
              <c:idx val="4"/>
              <c:layout>
                <c:manualLayout>
                  <c:x val="-0.14804663470661464"/>
                  <c:y val="-9.0882611124411455E-2"/>
                </c:manualLayout>
              </c:layout>
              <c:tx>
                <c:rich>
                  <a:bodyPr/>
                  <a:lstStyle/>
                  <a:p>
                    <a:fld id="{D26F2C94-FE22-2942-85B2-F5BA854569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92D-B846-8DDC-7B338CB0C11F}"/>
                </c:ext>
              </c:extLst>
            </c:dLbl>
            <c:dLbl>
              <c:idx val="5"/>
              <c:layout>
                <c:manualLayout>
                  <c:x val="-0.16264469082924449"/>
                  <c:y val="0.17934504247647651"/>
                </c:manualLayout>
              </c:layout>
              <c:tx>
                <c:rich>
                  <a:bodyPr/>
                  <a:lstStyle/>
                  <a:p>
                    <a:fld id="{749995E7-BA5D-2447-B6F5-06A8FD0C7D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92D-B846-8DDC-7B338CB0C11F}"/>
                </c:ext>
              </c:extLst>
            </c:dLbl>
            <c:dLbl>
              <c:idx val="6"/>
              <c:layout>
                <c:manualLayout>
                  <c:x val="6.7141966439860118E-2"/>
                  <c:y val="-0.11143273771954644"/>
                </c:manualLayout>
              </c:layout>
              <c:tx>
                <c:rich>
                  <a:bodyPr/>
                  <a:lstStyle/>
                  <a:p>
                    <a:fld id="{554B125F-1661-F042-B202-07AFE2E223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92D-B846-8DDC-7B338CB0C11F}"/>
                </c:ext>
              </c:extLst>
            </c:dLbl>
            <c:dLbl>
              <c:idx val="7"/>
              <c:layout>
                <c:manualLayout>
                  <c:x val="-0.14361546587840943"/>
                  <c:y val="0.1502817968585039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692D-B846-8DDC-7B338CB0C11F}"/>
                </c:ext>
              </c:extLst>
            </c:dLbl>
            <c:dLbl>
              <c:idx val="8"/>
              <c:layout>
                <c:manualLayout>
                  <c:x val="-0.11410025629305731"/>
                  <c:y val="-0.1023563792675284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7-692D-B846-8DDC-7B338CB0C1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E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'4th bg284g'!$Q$54:$Q$61</c:f>
                <c:numCache>
                  <c:formatCode>General</c:formatCode>
                  <c:ptCount val="8"/>
                  <c:pt idx="0">
                    <c:v>1.4960000000000001E-2</c:v>
                  </c:pt>
                  <c:pt idx="1">
                    <c:v>1.4920000000000001E-2</c:v>
                  </c:pt>
                  <c:pt idx="2">
                    <c:v>1.4740000000000001E-2</c:v>
                  </c:pt>
                  <c:pt idx="3">
                    <c:v>1.6039999999999999E-2</c:v>
                  </c:pt>
                  <c:pt idx="4">
                    <c:v>2.07E-2</c:v>
                  </c:pt>
                  <c:pt idx="5">
                    <c:v>2.7120000000000002E-2</c:v>
                  </c:pt>
                  <c:pt idx="6">
                    <c:v>4.41E-2</c:v>
                  </c:pt>
                  <c:pt idx="7">
                    <c:v>6.8879999999999997E-2</c:v>
                  </c:pt>
                </c:numCache>
              </c:numRef>
            </c:plus>
            <c:minus>
              <c:numRef>
                <c:f>'4th bg284g'!$Q$54:$Q$61</c:f>
                <c:numCache>
                  <c:formatCode>General</c:formatCode>
                  <c:ptCount val="8"/>
                  <c:pt idx="0">
                    <c:v>1.4960000000000001E-2</c:v>
                  </c:pt>
                  <c:pt idx="1">
                    <c:v>1.4920000000000001E-2</c:v>
                  </c:pt>
                  <c:pt idx="2">
                    <c:v>1.4740000000000001E-2</c:v>
                  </c:pt>
                  <c:pt idx="3">
                    <c:v>1.6039999999999999E-2</c:v>
                  </c:pt>
                  <c:pt idx="4">
                    <c:v>2.07E-2</c:v>
                  </c:pt>
                  <c:pt idx="5">
                    <c:v>2.7120000000000002E-2</c:v>
                  </c:pt>
                  <c:pt idx="6">
                    <c:v>4.41E-2</c:v>
                  </c:pt>
                  <c:pt idx="7">
                    <c:v>6.8879999999999997E-2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'4th bg284g'!$S$54:$S$61</c:f>
                <c:numCache>
                  <c:formatCode>General</c:formatCode>
                  <c:ptCount val="8"/>
                  <c:pt idx="0">
                    <c:v>3.1859999999999999E-2</c:v>
                  </c:pt>
                  <c:pt idx="1">
                    <c:v>3.1760000000000004E-2</c:v>
                  </c:pt>
                  <c:pt idx="2">
                    <c:v>3.2719999999999999E-2</c:v>
                  </c:pt>
                  <c:pt idx="3">
                    <c:v>3.8720000000000004E-2</c:v>
                  </c:pt>
                  <c:pt idx="4">
                    <c:v>5.5320000000000008E-2</c:v>
                  </c:pt>
                  <c:pt idx="5">
                    <c:v>7.8720000000000012E-2</c:v>
                  </c:pt>
                  <c:pt idx="6">
                    <c:v>0.12110000000000001</c:v>
                  </c:pt>
                  <c:pt idx="7">
                    <c:v>0.17780000000000001</c:v>
                  </c:pt>
                </c:numCache>
              </c:numRef>
            </c:plus>
            <c:minus>
              <c:numRef>
                <c:f>'4th bg284g'!$S$54:$S$61</c:f>
                <c:numCache>
                  <c:formatCode>General</c:formatCode>
                  <c:ptCount val="8"/>
                  <c:pt idx="0">
                    <c:v>3.1859999999999999E-2</c:v>
                  </c:pt>
                  <c:pt idx="1">
                    <c:v>3.1760000000000004E-2</c:v>
                  </c:pt>
                  <c:pt idx="2">
                    <c:v>3.2719999999999999E-2</c:v>
                  </c:pt>
                  <c:pt idx="3">
                    <c:v>3.8720000000000004E-2</c:v>
                  </c:pt>
                  <c:pt idx="4">
                    <c:v>5.5320000000000008E-2</c:v>
                  </c:pt>
                  <c:pt idx="5">
                    <c:v>7.8720000000000012E-2</c:v>
                  </c:pt>
                  <c:pt idx="6">
                    <c:v>0.12110000000000001</c:v>
                  </c:pt>
                  <c:pt idx="7">
                    <c:v>0.17780000000000001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'4th bg284g'!$P$54:$P$60</c:f>
              <c:numCache>
                <c:formatCode>General</c:formatCode>
                <c:ptCount val="7"/>
                <c:pt idx="0">
                  <c:v>0.10460000000000491</c:v>
                </c:pt>
                <c:pt idx="1">
                  <c:v>9.1399999999998732E-2</c:v>
                </c:pt>
                <c:pt idx="2">
                  <c:v>0.12580000000000383</c:v>
                </c:pt>
                <c:pt idx="3">
                  <c:v>0.11520000000000437</c:v>
                </c:pt>
                <c:pt idx="4">
                  <c:v>7.5800000000003823E-2</c:v>
                </c:pt>
                <c:pt idx="5">
                  <c:v>8.8400000000001464E-2</c:v>
                </c:pt>
                <c:pt idx="6">
                  <c:v>0.13540000000000418</c:v>
                </c:pt>
              </c:numCache>
            </c:numRef>
          </c:xVal>
          <c:yVal>
            <c:numRef>
              <c:f>'4th bg284g'!$R$54:$R$60</c:f>
              <c:numCache>
                <c:formatCode>General</c:formatCode>
                <c:ptCount val="7"/>
                <c:pt idx="0">
                  <c:v>0.30479999999997748</c:v>
                </c:pt>
                <c:pt idx="1">
                  <c:v>0.30960000000000037</c:v>
                </c:pt>
                <c:pt idx="2">
                  <c:v>0.30960000000000037</c:v>
                </c:pt>
                <c:pt idx="3">
                  <c:v>0.4340000000000146</c:v>
                </c:pt>
                <c:pt idx="4">
                  <c:v>0.6610000000000128</c:v>
                </c:pt>
                <c:pt idx="5">
                  <c:v>0.63380000000001935</c:v>
                </c:pt>
                <c:pt idx="6">
                  <c:v>0.60140000000001237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'4th bg284g'!$B$54:$B$63</c15:f>
                <c15:dlblRangeCache>
                  <c:ptCount val="10"/>
                  <c:pt idx="0">
                    <c:v>1100</c:v>
                  </c:pt>
                  <c:pt idx="1">
                    <c:v>4000</c:v>
                  </c:pt>
                  <c:pt idx="2">
                    <c:v>7500</c:v>
                  </c:pt>
                  <c:pt idx="3">
                    <c:v>10000</c:v>
                  </c:pt>
                  <c:pt idx="4">
                    <c:v>15000</c:v>
                  </c:pt>
                  <c:pt idx="5">
                    <c:v>20000</c:v>
                  </c:pt>
                  <c:pt idx="6">
                    <c:v>25000</c:v>
                  </c:pt>
                  <c:pt idx="7">
                    <c:v>30000</c:v>
                  </c:pt>
                  <c:pt idx="8">
                    <c:v>35000</c:v>
                  </c:pt>
                  <c:pt idx="9">
                    <c:v>40000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692D-B846-8DDC-7B338CB0C1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4957599"/>
        <c:axId val="1997796431"/>
      </c:scatterChart>
      <c:valAx>
        <c:axId val="2044957599"/>
        <c:scaling>
          <c:orientation val="minMax"/>
          <c:max val="0.19"/>
          <c:min val="0.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1997796431"/>
        <c:crosses val="autoZero"/>
        <c:crossBetween val="midCat"/>
      </c:valAx>
      <c:valAx>
        <c:axId val="1997796431"/>
        <c:scaling>
          <c:orientation val="minMax"/>
          <c:max val="0.75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2044957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/>
                </a:solidFill>
              </a:rPr>
              <a:t>4. MaNGA 1-43718 </a:t>
            </a:r>
            <a:r>
              <a:rPr lang="en-US"/>
              <a:t>X vs Y</a:t>
            </a:r>
            <a:r>
              <a:rPr lang="en-US" baseline="0"/>
              <a:t> positions C-Band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bg1"/>
                </a:solidFill>
              </a:ln>
              <a:effectLst/>
            </c:spPr>
          </c:marker>
          <c:dPt>
            <c:idx val="0"/>
            <c:marker>
              <c:symbol val="circle"/>
              <c:size val="8"/>
              <c:spPr>
                <a:solidFill>
                  <a:srgbClr val="F9696A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F63-684E-95A6-9BF28B5FA630}"/>
              </c:ext>
            </c:extLst>
          </c:dPt>
          <c:dPt>
            <c:idx val="1"/>
            <c:marker>
              <c:symbol val="circle"/>
              <c:size val="8"/>
              <c:spPr>
                <a:solidFill>
                  <a:srgbClr val="F86D6B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F63-684E-95A6-9BF28B5FA630}"/>
              </c:ext>
            </c:extLst>
          </c:dPt>
          <c:dPt>
            <c:idx val="2"/>
            <c:marker>
              <c:symbol val="circle"/>
              <c:size val="8"/>
              <c:spPr>
                <a:solidFill>
                  <a:srgbClr val="F97E6E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F63-684E-95A6-9BF28B5FA630}"/>
              </c:ext>
            </c:extLst>
          </c:dPt>
          <c:dPt>
            <c:idx val="3"/>
            <c:marker>
              <c:symbol val="circle"/>
              <c:size val="8"/>
              <c:spPr>
                <a:solidFill>
                  <a:srgbClr val="FA8E72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F63-684E-95A6-9BF28B5FA630}"/>
              </c:ext>
            </c:extLst>
          </c:dPt>
          <c:dPt>
            <c:idx val="4"/>
            <c:marker>
              <c:symbol val="circle"/>
              <c:size val="8"/>
              <c:spPr>
                <a:solidFill>
                  <a:srgbClr val="FA9F76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F63-684E-95A6-9BF28B5FA630}"/>
              </c:ext>
            </c:extLst>
          </c:dPt>
          <c:dPt>
            <c:idx val="5"/>
            <c:marker>
              <c:symbol val="circle"/>
              <c:size val="8"/>
              <c:spPr>
                <a:solidFill>
                  <a:srgbClr val="FCB078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F63-684E-95A6-9BF28B5FA630}"/>
              </c:ext>
            </c:extLst>
          </c:dPt>
          <c:dPt>
            <c:idx val="6"/>
            <c:marker>
              <c:symbol val="circle"/>
              <c:size val="8"/>
              <c:spPr>
                <a:solidFill>
                  <a:srgbClr val="FDC17B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F63-684E-95A6-9BF28B5FA630}"/>
              </c:ext>
            </c:extLst>
          </c:dPt>
          <c:dPt>
            <c:idx val="7"/>
            <c:marker>
              <c:symbol val="circle"/>
              <c:size val="8"/>
              <c:spPr>
                <a:solidFill>
                  <a:srgbClr val="FED27E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F63-684E-95A6-9BF28B5FA630}"/>
              </c:ext>
            </c:extLst>
          </c:dPt>
          <c:dPt>
            <c:idx val="8"/>
            <c:marker>
              <c:symbol val="circle"/>
              <c:size val="8"/>
              <c:spPr>
                <a:solidFill>
                  <a:srgbClr val="FEE282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F63-684E-95A6-9BF28B5FA630}"/>
              </c:ext>
            </c:extLst>
          </c:dPt>
          <c:dPt>
            <c:idx val="9"/>
            <c:marker>
              <c:symbol val="circle"/>
              <c:size val="8"/>
              <c:spPr>
                <a:solidFill>
                  <a:srgbClr val="F7E984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F63-684E-95A6-9BF28B5FA630}"/>
              </c:ext>
            </c:extLst>
          </c:dPt>
          <c:dPt>
            <c:idx val="10"/>
            <c:marker>
              <c:symbol val="circle"/>
              <c:size val="8"/>
              <c:spPr>
                <a:solidFill>
                  <a:srgbClr val="E4E483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F63-684E-95A6-9BF28B5FA630}"/>
              </c:ext>
            </c:extLst>
          </c:dPt>
          <c:dPt>
            <c:idx val="11"/>
            <c:marker>
              <c:symbol val="circle"/>
              <c:size val="8"/>
              <c:spPr>
                <a:solidFill>
                  <a:srgbClr val="D2DF82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F63-684E-95A6-9BF28B5FA630}"/>
              </c:ext>
            </c:extLst>
          </c:dPt>
          <c:dPt>
            <c:idx val="12"/>
            <c:marker>
              <c:symbol val="circle"/>
              <c:size val="8"/>
              <c:spPr>
                <a:solidFill>
                  <a:srgbClr val="BFD98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F63-684E-95A6-9BF28B5FA630}"/>
              </c:ext>
            </c:extLst>
          </c:dPt>
          <c:dPt>
            <c:idx val="13"/>
            <c:marker>
              <c:symbol val="circle"/>
              <c:size val="8"/>
              <c:spPr>
                <a:solidFill>
                  <a:srgbClr val="ADD480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F63-684E-95A6-9BF28B5FA630}"/>
              </c:ext>
            </c:extLst>
          </c:dPt>
          <c:dPt>
            <c:idx val="14"/>
            <c:marker>
              <c:symbol val="circle"/>
              <c:size val="8"/>
              <c:spPr>
                <a:solidFill>
                  <a:srgbClr val="9CCF7F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5F63-684E-95A6-9BF28B5FA630}"/>
              </c:ext>
            </c:extLst>
          </c:dPt>
          <c:dPt>
            <c:idx val="15"/>
            <c:marker>
              <c:symbol val="circle"/>
              <c:size val="8"/>
              <c:spPr>
                <a:solidFill>
                  <a:srgbClr val="88C97D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5F63-684E-95A6-9BF28B5FA630}"/>
              </c:ext>
            </c:extLst>
          </c:dPt>
          <c:dPt>
            <c:idx val="16"/>
            <c:marker>
              <c:symbol val="circle"/>
              <c:size val="8"/>
              <c:spPr>
                <a:solidFill>
                  <a:srgbClr val="76C47D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5F63-684E-95A6-9BF28B5FA630}"/>
              </c:ext>
            </c:extLst>
          </c:dPt>
          <c:dPt>
            <c:idx val="17"/>
            <c:marker>
              <c:symbol val="circle"/>
              <c:size val="8"/>
              <c:spPr>
                <a:solidFill>
                  <a:srgbClr val="63BE7B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5F63-684E-95A6-9BF28B5FA630}"/>
              </c:ext>
            </c:extLst>
          </c:dPt>
          <c:dPt>
            <c:idx val="18"/>
            <c:marker>
              <c:symbol val="circle"/>
              <c:size val="8"/>
              <c:spPr>
                <a:solidFill>
                  <a:srgbClr val="63BE7B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5F63-684E-95A6-9BF28B5FA630}"/>
              </c:ext>
            </c:extLst>
          </c:dPt>
          <c:dLbls>
            <c:dLbl>
              <c:idx val="0"/>
              <c:layout>
                <c:manualLayout>
                  <c:x val="0.11844380114833503"/>
                  <c:y val="-0.11260363408465734"/>
                </c:manualLayout>
              </c:layout>
              <c:tx>
                <c:rich>
                  <a:bodyPr/>
                  <a:lstStyle/>
                  <a:p>
                    <a:fld id="{D6018AA2-32EB-B34B-8A8A-12B1670599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F63-684E-95A6-9BF28B5FA630}"/>
                </c:ext>
              </c:extLst>
            </c:dLbl>
            <c:dLbl>
              <c:idx val="1"/>
              <c:layout>
                <c:manualLayout>
                  <c:x val="0.14365204589167049"/>
                  <c:y val="3.2345141965208213E-2"/>
                </c:manualLayout>
              </c:layout>
              <c:tx>
                <c:rich>
                  <a:bodyPr/>
                  <a:lstStyle/>
                  <a:p>
                    <a:fld id="{13837DDF-8906-4F42-A95B-E1E10CE4DE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F63-684E-95A6-9BF28B5FA630}"/>
                </c:ext>
              </c:extLst>
            </c:dLbl>
            <c:dLbl>
              <c:idx val="2"/>
              <c:layout>
                <c:manualLayout>
                  <c:x val="0.15617990609842755"/>
                  <c:y val="-5.6444270027300715E-2"/>
                </c:manualLayout>
              </c:layout>
              <c:tx>
                <c:rich>
                  <a:bodyPr/>
                  <a:lstStyle/>
                  <a:p>
                    <a:fld id="{D9826C3C-C45E-9941-A0EA-0C4121BAAF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F63-684E-95A6-9BF28B5FA630}"/>
                </c:ext>
              </c:extLst>
            </c:dLbl>
            <c:dLbl>
              <c:idx val="3"/>
              <c:layout>
                <c:manualLayout>
                  <c:x val="3.4551455365872598E-2"/>
                  <c:y val="-0.17587862636152543"/>
                </c:manualLayout>
              </c:layout>
              <c:tx>
                <c:rich>
                  <a:bodyPr/>
                  <a:lstStyle/>
                  <a:p>
                    <a:fld id="{C10F146E-5628-1149-AA66-E67D24335D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F63-684E-95A6-9BF28B5FA630}"/>
                </c:ext>
              </c:extLst>
            </c:dLbl>
            <c:dLbl>
              <c:idx val="4"/>
              <c:layout>
                <c:manualLayout>
                  <c:x val="-0.19609078682106335"/>
                  <c:y val="3.3046505818585474E-2"/>
                </c:manualLayout>
              </c:layout>
              <c:tx>
                <c:rich>
                  <a:bodyPr/>
                  <a:lstStyle/>
                  <a:p>
                    <a:fld id="{2145FF64-F4CC-064F-8FA7-294300F85E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F63-684E-95A6-9BF28B5FA630}"/>
                </c:ext>
              </c:extLst>
            </c:dLbl>
            <c:dLbl>
              <c:idx val="5"/>
              <c:layout>
                <c:manualLayout>
                  <c:x val="-0.22536064388218863"/>
                  <c:y val="-4.3422847758961422E-2"/>
                </c:manualLayout>
              </c:layout>
              <c:tx>
                <c:rich>
                  <a:bodyPr/>
                  <a:lstStyle/>
                  <a:p>
                    <a:fld id="{62FB6FB8-EC09-EB4D-A866-CFA8FA5B9F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F63-684E-95A6-9BF28B5FA630}"/>
                </c:ext>
              </c:extLst>
            </c:dLbl>
            <c:dLbl>
              <c:idx val="6"/>
              <c:layout>
                <c:manualLayout>
                  <c:x val="-1.3608675567188115E-2"/>
                  <c:y val="-8.9414283581582307E-2"/>
                </c:manualLayout>
              </c:layout>
              <c:tx>
                <c:rich>
                  <a:bodyPr/>
                  <a:lstStyle/>
                  <a:p>
                    <a:fld id="{ED72A046-3FF4-0445-AA84-5CEA1738BB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F63-684E-95A6-9BF28B5FA630}"/>
                </c:ext>
              </c:extLst>
            </c:dLbl>
            <c:dLbl>
              <c:idx val="7"/>
              <c:layout>
                <c:manualLayout>
                  <c:x val="2.9148630473401303E-2"/>
                  <c:y val="1.0667529883716977E-2"/>
                </c:manualLayout>
              </c:layout>
              <c:tx>
                <c:rich>
                  <a:bodyPr/>
                  <a:lstStyle/>
                  <a:p>
                    <a:fld id="{F2503148-C5A4-6E45-ABCF-236BCF730D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F63-684E-95A6-9BF28B5FA630}"/>
                </c:ext>
              </c:extLst>
            </c:dLbl>
            <c:dLbl>
              <c:idx val="8"/>
              <c:layout>
                <c:manualLayout>
                  <c:x val="-0.15970695298119339"/>
                  <c:y val="-1.0878899812132043E-3"/>
                </c:manualLayout>
              </c:layout>
              <c:tx>
                <c:rich>
                  <a:bodyPr/>
                  <a:lstStyle/>
                  <a:p>
                    <a:fld id="{2504FA2C-8A9D-F44D-8EDF-8B6572435F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F63-684E-95A6-9BF28B5FA630}"/>
                </c:ext>
              </c:extLst>
            </c:dLbl>
            <c:dLbl>
              <c:idx val="9"/>
              <c:layout>
                <c:manualLayout>
                  <c:x val="-0.24605241578925185"/>
                  <c:y val="-8.3385436759743345E-2"/>
                </c:manualLayout>
              </c:layout>
              <c:tx>
                <c:rich>
                  <a:bodyPr/>
                  <a:lstStyle/>
                  <a:p>
                    <a:fld id="{8C2CCBD3-F845-BB4F-A000-F9120FD624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F63-684E-95A6-9BF28B5FA630}"/>
                </c:ext>
              </c:extLst>
            </c:dLbl>
            <c:dLbl>
              <c:idx val="10"/>
              <c:layout>
                <c:manualLayout>
                  <c:x val="7.1361147149881551E-2"/>
                  <c:y val="3.7728423638548551E-2"/>
                </c:manualLayout>
              </c:layout>
              <c:tx>
                <c:rich>
                  <a:bodyPr/>
                  <a:lstStyle/>
                  <a:p>
                    <a:fld id="{D43ECB98-13D4-0142-AC7B-BAF6087365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5F63-684E-95A6-9BF28B5FA630}"/>
                </c:ext>
              </c:extLst>
            </c:dLbl>
            <c:dLbl>
              <c:idx val="11"/>
              <c:layout>
                <c:manualLayout>
                  <c:x val="-0.22289980674687512"/>
                  <c:y val="-1.1602804864168955E-2"/>
                </c:manualLayout>
              </c:layout>
              <c:tx>
                <c:rich>
                  <a:bodyPr/>
                  <a:lstStyle/>
                  <a:p>
                    <a:fld id="{E236DB52-DB07-8544-948D-ABB2602B78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5F63-684E-95A6-9BF28B5FA630}"/>
                </c:ext>
              </c:extLst>
            </c:dLbl>
            <c:dLbl>
              <c:idx val="12"/>
              <c:layout>
                <c:manualLayout>
                  <c:x val="-0.20146043610691142"/>
                  <c:y val="-1.3859141897215091E-2"/>
                </c:manualLayout>
              </c:layout>
              <c:tx>
                <c:rich>
                  <a:bodyPr/>
                  <a:lstStyle/>
                  <a:p>
                    <a:fld id="{09F210B2-FA08-5646-900A-2AA2EC29D4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5F63-684E-95A6-9BF28B5FA630}"/>
                </c:ext>
              </c:extLst>
            </c:dLbl>
            <c:dLbl>
              <c:idx val="13"/>
              <c:layout>
                <c:manualLayout>
                  <c:x val="-0.21472379325295796"/>
                  <c:y val="-0.13925472145729959"/>
                </c:manualLayout>
              </c:layout>
              <c:tx>
                <c:rich>
                  <a:bodyPr/>
                  <a:lstStyle/>
                  <a:p>
                    <a:fld id="{3F202B73-8AAD-7F40-A0F0-BEE6AC8304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5F63-684E-95A6-9BF28B5FA630}"/>
                </c:ext>
              </c:extLst>
            </c:dLbl>
            <c:dLbl>
              <c:idx val="14"/>
              <c:layout>
                <c:manualLayout>
                  <c:x val="-5.835839586969957E-2"/>
                  <c:y val="0.15490533435618636"/>
                </c:manualLayout>
              </c:layout>
              <c:tx>
                <c:rich>
                  <a:bodyPr/>
                  <a:lstStyle/>
                  <a:p>
                    <a:fld id="{A8B96846-7342-7A43-BD64-B4B5A40DFC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F63-684E-95A6-9BF28B5FA630}"/>
                </c:ext>
              </c:extLst>
            </c:dLbl>
            <c:dLbl>
              <c:idx val="15"/>
              <c:layout>
                <c:manualLayout>
                  <c:x val="-0.13261020247969929"/>
                  <c:y val="-9.3676048239643331E-2"/>
                </c:manualLayout>
              </c:layout>
              <c:tx>
                <c:rich>
                  <a:bodyPr/>
                  <a:lstStyle/>
                  <a:p>
                    <a:fld id="{74C6DDC5-A081-CB4A-8058-CCFD54DE62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5F63-684E-95A6-9BF28B5FA630}"/>
                </c:ext>
              </c:extLst>
            </c:dLbl>
            <c:dLbl>
              <c:idx val="16"/>
              <c:layout>
                <c:manualLayout>
                  <c:x val="9.9261206365209603E-2"/>
                  <c:y val="-9.0089780485677881E-2"/>
                </c:manualLayout>
              </c:layout>
              <c:tx>
                <c:rich>
                  <a:bodyPr/>
                  <a:lstStyle/>
                  <a:p>
                    <a:fld id="{25487F73-16D6-704F-950E-2DFF959E2A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5F63-684E-95A6-9BF28B5FA630}"/>
                </c:ext>
              </c:extLst>
            </c:dLbl>
            <c:dLbl>
              <c:idx val="17"/>
              <c:layout>
                <c:manualLayout>
                  <c:x val="3.4041928124526576E-2"/>
                  <c:y val="-0.16007798515680546"/>
                </c:manualLayout>
              </c:layout>
              <c:tx>
                <c:rich>
                  <a:bodyPr/>
                  <a:lstStyle/>
                  <a:p>
                    <a:fld id="{7DB473A9-925E-014A-A3A2-B2E90C8944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5F63-684E-95A6-9BF28B5FA630}"/>
                </c:ext>
              </c:extLst>
            </c:dLbl>
            <c:dLbl>
              <c:idx val="18"/>
              <c:layout>
                <c:manualLayout>
                  <c:x val="2.5838372617563708E-3"/>
                  <c:y val="0.1055923974818894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E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212282986672575E-2"/>
                      <c:h val="5.7935314889459431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13-5F63-684E-95A6-9BF28B5FA6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E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'4th bg284g'!$Q$85:$Q$103</c:f>
                <c:numCache>
                  <c:formatCode>General</c:formatCode>
                  <c:ptCount val="19"/>
                  <c:pt idx="0">
                    <c:v>3.9040000000000005E-2</c:v>
                  </c:pt>
                  <c:pt idx="1">
                    <c:v>4.0680000000000001E-2</c:v>
                  </c:pt>
                  <c:pt idx="2">
                    <c:v>4.1060000000000006E-2</c:v>
                  </c:pt>
                  <c:pt idx="3">
                    <c:v>4.0860000000000007E-2</c:v>
                  </c:pt>
                  <c:pt idx="4">
                    <c:v>3.9720000000000005E-2</c:v>
                  </c:pt>
                  <c:pt idx="5">
                    <c:v>3.9879999999999999E-2</c:v>
                  </c:pt>
                  <c:pt idx="6">
                    <c:v>3.6400000000000002E-2</c:v>
                  </c:pt>
                  <c:pt idx="7">
                    <c:v>4.0580000000000005E-2</c:v>
                  </c:pt>
                  <c:pt idx="8">
                    <c:v>3.832E-2</c:v>
                  </c:pt>
                  <c:pt idx="9">
                    <c:v>3.4120000000000004E-2</c:v>
                  </c:pt>
                  <c:pt idx="10">
                    <c:v>3.5180000000000003E-2</c:v>
                  </c:pt>
                  <c:pt idx="11">
                    <c:v>4.9020000000000008E-2</c:v>
                  </c:pt>
                  <c:pt idx="12">
                    <c:v>6.1860000000000005E-2</c:v>
                  </c:pt>
                  <c:pt idx="13">
                    <c:v>7.7560000000000004E-2</c:v>
                  </c:pt>
                  <c:pt idx="14">
                    <c:v>7.690000000000001E-2</c:v>
                  </c:pt>
                  <c:pt idx="15">
                    <c:v>5.8980000000000005E-2</c:v>
                  </c:pt>
                  <c:pt idx="16">
                    <c:v>6.3560000000000005E-2</c:v>
                  </c:pt>
                  <c:pt idx="17">
                    <c:v>7.492E-2</c:v>
                  </c:pt>
                  <c:pt idx="18">
                    <c:v>0.14082</c:v>
                  </c:pt>
                </c:numCache>
              </c:numRef>
            </c:plus>
            <c:minus>
              <c:numRef>
                <c:f>'4th bg284g'!$Q$85:$Q$103</c:f>
                <c:numCache>
                  <c:formatCode>General</c:formatCode>
                  <c:ptCount val="19"/>
                  <c:pt idx="0">
                    <c:v>3.9040000000000005E-2</c:v>
                  </c:pt>
                  <c:pt idx="1">
                    <c:v>4.0680000000000001E-2</c:v>
                  </c:pt>
                  <c:pt idx="2">
                    <c:v>4.1060000000000006E-2</c:v>
                  </c:pt>
                  <c:pt idx="3">
                    <c:v>4.0860000000000007E-2</c:v>
                  </c:pt>
                  <c:pt idx="4">
                    <c:v>3.9720000000000005E-2</c:v>
                  </c:pt>
                  <c:pt idx="5">
                    <c:v>3.9879999999999999E-2</c:v>
                  </c:pt>
                  <c:pt idx="6">
                    <c:v>3.6400000000000002E-2</c:v>
                  </c:pt>
                  <c:pt idx="7">
                    <c:v>4.0580000000000005E-2</c:v>
                  </c:pt>
                  <c:pt idx="8">
                    <c:v>3.832E-2</c:v>
                  </c:pt>
                  <c:pt idx="9">
                    <c:v>3.4120000000000004E-2</c:v>
                  </c:pt>
                  <c:pt idx="10">
                    <c:v>3.5180000000000003E-2</c:v>
                  </c:pt>
                  <c:pt idx="11">
                    <c:v>4.9020000000000008E-2</c:v>
                  </c:pt>
                  <c:pt idx="12">
                    <c:v>6.1860000000000005E-2</c:v>
                  </c:pt>
                  <c:pt idx="13">
                    <c:v>7.7560000000000004E-2</c:v>
                  </c:pt>
                  <c:pt idx="14">
                    <c:v>7.690000000000001E-2</c:v>
                  </c:pt>
                  <c:pt idx="15">
                    <c:v>5.8980000000000005E-2</c:v>
                  </c:pt>
                  <c:pt idx="16">
                    <c:v>6.3560000000000005E-2</c:v>
                  </c:pt>
                  <c:pt idx="17">
                    <c:v>7.492E-2</c:v>
                  </c:pt>
                  <c:pt idx="18">
                    <c:v>0.14082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'4th bg284g'!$S$85:$S$103</c:f>
                <c:numCache>
                  <c:formatCode>General</c:formatCode>
                  <c:ptCount val="19"/>
                  <c:pt idx="0">
                    <c:v>5.2740000000000002E-2</c:v>
                  </c:pt>
                  <c:pt idx="1">
                    <c:v>5.5620000000000003E-2</c:v>
                  </c:pt>
                  <c:pt idx="2">
                    <c:v>5.5760000000000004E-2</c:v>
                  </c:pt>
                  <c:pt idx="3">
                    <c:v>5.6559999999999999E-2</c:v>
                  </c:pt>
                  <c:pt idx="4">
                    <c:v>5.6520000000000008E-2</c:v>
                  </c:pt>
                  <c:pt idx="5">
                    <c:v>6.0999999999999999E-2</c:v>
                  </c:pt>
                  <c:pt idx="6">
                    <c:v>6.8820000000000006E-2</c:v>
                  </c:pt>
                  <c:pt idx="7">
                    <c:v>9.1679999999999998E-2</c:v>
                  </c:pt>
                  <c:pt idx="8">
                    <c:v>8.5260000000000002E-2</c:v>
                  </c:pt>
                  <c:pt idx="9">
                    <c:v>7.7920000000000003E-2</c:v>
                  </c:pt>
                  <c:pt idx="10">
                    <c:v>8.8200000000000001E-2</c:v>
                  </c:pt>
                  <c:pt idx="11">
                    <c:v>0.13470000000000001</c:v>
                  </c:pt>
                  <c:pt idx="12">
                    <c:v>0.17746000000000001</c:v>
                  </c:pt>
                  <c:pt idx="13">
                    <c:v>0.27454000000000001</c:v>
                  </c:pt>
                  <c:pt idx="14">
                    <c:v>0.18584000000000001</c:v>
                  </c:pt>
                  <c:pt idx="15">
                    <c:v>0.16930000000000001</c:v>
                  </c:pt>
                  <c:pt idx="16">
                    <c:v>0.19552000000000003</c:v>
                  </c:pt>
                  <c:pt idx="17">
                    <c:v>0.21408000000000002</c:v>
                  </c:pt>
                  <c:pt idx="18">
                    <c:v>0.38264000000000004</c:v>
                  </c:pt>
                </c:numCache>
              </c:numRef>
            </c:plus>
            <c:minus>
              <c:numRef>
                <c:f>'4th bg284g'!$S$85:$S$103</c:f>
                <c:numCache>
                  <c:formatCode>General</c:formatCode>
                  <c:ptCount val="19"/>
                  <c:pt idx="0">
                    <c:v>5.2740000000000002E-2</c:v>
                  </c:pt>
                  <c:pt idx="1">
                    <c:v>5.5620000000000003E-2</c:v>
                  </c:pt>
                  <c:pt idx="2">
                    <c:v>5.5760000000000004E-2</c:v>
                  </c:pt>
                  <c:pt idx="3">
                    <c:v>5.6559999999999999E-2</c:v>
                  </c:pt>
                  <c:pt idx="4">
                    <c:v>5.6520000000000008E-2</c:v>
                  </c:pt>
                  <c:pt idx="5">
                    <c:v>6.0999999999999999E-2</c:v>
                  </c:pt>
                  <c:pt idx="6">
                    <c:v>6.8820000000000006E-2</c:v>
                  </c:pt>
                  <c:pt idx="7">
                    <c:v>9.1679999999999998E-2</c:v>
                  </c:pt>
                  <c:pt idx="8">
                    <c:v>8.5260000000000002E-2</c:v>
                  </c:pt>
                  <c:pt idx="9">
                    <c:v>7.7920000000000003E-2</c:v>
                  </c:pt>
                  <c:pt idx="10">
                    <c:v>8.8200000000000001E-2</c:v>
                  </c:pt>
                  <c:pt idx="11">
                    <c:v>0.13470000000000001</c:v>
                  </c:pt>
                  <c:pt idx="12">
                    <c:v>0.17746000000000001</c:v>
                  </c:pt>
                  <c:pt idx="13">
                    <c:v>0.27454000000000001</c:v>
                  </c:pt>
                  <c:pt idx="14">
                    <c:v>0.18584000000000001</c:v>
                  </c:pt>
                  <c:pt idx="15">
                    <c:v>0.16930000000000001</c:v>
                  </c:pt>
                  <c:pt idx="16">
                    <c:v>0.19552000000000003</c:v>
                  </c:pt>
                  <c:pt idx="17">
                    <c:v>0.21408000000000002</c:v>
                  </c:pt>
                  <c:pt idx="18">
                    <c:v>0.38264000000000004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'4th bg284g'!$P$85:$P$102</c:f>
              <c:numCache>
                <c:formatCode>General</c:formatCode>
                <c:ptCount val="18"/>
                <c:pt idx="0">
                  <c:v>2.4071999999999889</c:v>
                </c:pt>
                <c:pt idx="1">
                  <c:v>2.4089999999999918</c:v>
                </c:pt>
                <c:pt idx="2">
                  <c:v>2.4190000000000058</c:v>
                </c:pt>
                <c:pt idx="3">
                  <c:v>2.3842000000000101</c:v>
                </c:pt>
                <c:pt idx="4">
                  <c:v>2.3410000000000082</c:v>
                </c:pt>
                <c:pt idx="5">
                  <c:v>2.3263999999999898</c:v>
                </c:pt>
                <c:pt idx="6">
                  <c:v>2.1163999999999987</c:v>
                </c:pt>
                <c:pt idx="7">
                  <c:v>1.8586000000000014</c:v>
                </c:pt>
                <c:pt idx="8">
                  <c:v>1.8036000000000059</c:v>
                </c:pt>
                <c:pt idx="9">
                  <c:v>1.6279999999999974</c:v>
                </c:pt>
                <c:pt idx="10">
                  <c:v>1.6493999999999915</c:v>
                </c:pt>
                <c:pt idx="11">
                  <c:v>1.63119999999999</c:v>
                </c:pt>
                <c:pt idx="12">
                  <c:v>1.6816000000000031</c:v>
                </c:pt>
                <c:pt idx="13">
                  <c:v>1.4718000000000075</c:v>
                </c:pt>
                <c:pt idx="14">
                  <c:v>4.3271999999999933</c:v>
                </c:pt>
                <c:pt idx="15">
                  <c:v>1.9432000000000018</c:v>
                </c:pt>
                <c:pt idx="16">
                  <c:v>1.7460000000000038</c:v>
                </c:pt>
                <c:pt idx="17">
                  <c:v>1.6635999999999969</c:v>
                </c:pt>
              </c:numCache>
            </c:numRef>
          </c:xVal>
          <c:yVal>
            <c:numRef>
              <c:f>'4th bg284g'!$R$85:$R$102</c:f>
              <c:numCache>
                <c:formatCode>General</c:formatCode>
                <c:ptCount val="18"/>
                <c:pt idx="0">
                  <c:v>2.487800000000016</c:v>
                </c:pt>
                <c:pt idx="1">
                  <c:v>2.4702000000000228</c:v>
                </c:pt>
                <c:pt idx="2">
                  <c:v>2.466600000000017</c:v>
                </c:pt>
                <c:pt idx="3">
                  <c:v>2.4692000000000007</c:v>
                </c:pt>
                <c:pt idx="4">
                  <c:v>2.4864000000000033</c:v>
                </c:pt>
                <c:pt idx="5">
                  <c:v>2.5070000000000165</c:v>
                </c:pt>
                <c:pt idx="6">
                  <c:v>2.5594000000000054</c:v>
                </c:pt>
                <c:pt idx="7">
                  <c:v>3.2068000000000212</c:v>
                </c:pt>
                <c:pt idx="8">
                  <c:v>3.2438000000000105</c:v>
                </c:pt>
                <c:pt idx="9">
                  <c:v>3.7557999999999994</c:v>
                </c:pt>
                <c:pt idx="10">
                  <c:v>3.673599999999988</c:v>
                </c:pt>
                <c:pt idx="11">
                  <c:v>3.7210000000000036</c:v>
                </c:pt>
                <c:pt idx="12">
                  <c:v>3.4733999999999927</c:v>
                </c:pt>
                <c:pt idx="13">
                  <c:v>3.9065999999999805</c:v>
                </c:pt>
                <c:pt idx="14">
                  <c:v>4.1204000000000178</c:v>
                </c:pt>
                <c:pt idx="15">
                  <c:v>2.7445999999999913</c:v>
                </c:pt>
                <c:pt idx="16">
                  <c:v>3.6835999999999789</c:v>
                </c:pt>
                <c:pt idx="17">
                  <c:v>3.8088000000000193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'4th bg284g'!$B$85:$B$103</c15:f>
                <c15:dlblRangeCache>
                  <c:ptCount val="19"/>
                  <c:pt idx="0">
                    <c:v>3620</c:v>
                  </c:pt>
                  <c:pt idx="1">
                    <c:v>4000</c:v>
                  </c:pt>
                  <c:pt idx="2">
                    <c:v>7500</c:v>
                  </c:pt>
                  <c:pt idx="3">
                    <c:v>10000</c:v>
                  </c:pt>
                  <c:pt idx="4">
                    <c:v>15000</c:v>
                  </c:pt>
                  <c:pt idx="5">
                    <c:v>20000</c:v>
                  </c:pt>
                  <c:pt idx="6">
                    <c:v>25000</c:v>
                  </c:pt>
                  <c:pt idx="7">
                    <c:v>30000</c:v>
                  </c:pt>
                  <c:pt idx="8">
                    <c:v>35000</c:v>
                  </c:pt>
                  <c:pt idx="9">
                    <c:v>40000</c:v>
                  </c:pt>
                  <c:pt idx="10">
                    <c:v>45000</c:v>
                  </c:pt>
                  <c:pt idx="11">
                    <c:v>50000</c:v>
                  </c:pt>
                  <c:pt idx="12">
                    <c:v>55000</c:v>
                  </c:pt>
                  <c:pt idx="13">
                    <c:v>60000</c:v>
                  </c:pt>
                  <c:pt idx="14">
                    <c:v>65000</c:v>
                  </c:pt>
                  <c:pt idx="15">
                    <c:v>70000</c:v>
                  </c:pt>
                  <c:pt idx="16">
                    <c:v>75000</c:v>
                  </c:pt>
                  <c:pt idx="17">
                    <c:v>80000</c:v>
                  </c:pt>
                  <c:pt idx="18">
                    <c:v>85000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5F63-684E-95A6-9BF28B5FA63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4957599"/>
        <c:axId val="1997796431"/>
      </c:scatterChart>
      <c:valAx>
        <c:axId val="2044957599"/>
        <c:scaling>
          <c:orientation val="minMax"/>
          <c:max val="4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1997796431"/>
        <c:crosses val="autoZero"/>
        <c:crossBetween val="midCat"/>
      </c:valAx>
      <c:valAx>
        <c:axId val="1997796431"/>
        <c:scaling>
          <c:orientation val="minMax"/>
          <c:max val="4.3499999999999996"/>
          <c:min val="2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2044957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0" i="0" u="none" strike="noStrike" kern="1200" baseline="0">
                <a:solidFill>
                  <a:srgbClr val="000000"/>
                </a:solidFill>
              </a:rPr>
              <a:t>4. Log Scale - MaNGA 1-43718 (bg284g)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C-Band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</c:spPr>
          </c:marker>
          <c:dPt>
            <c:idx val="1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0-A533-0A46-90D0-4708233A4AB2}"/>
              </c:ext>
            </c:extLst>
          </c:dPt>
          <c:dPt>
            <c:idx val="2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1-A533-0A46-90D0-4708233A4AB2}"/>
              </c:ext>
            </c:extLst>
          </c:dPt>
          <c:dPt>
            <c:idx val="3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2-A533-0A46-90D0-4708233A4AB2}"/>
              </c:ext>
            </c:extLst>
          </c:dPt>
          <c:dPt>
            <c:idx val="4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3-A533-0A46-90D0-4708233A4AB2}"/>
              </c:ext>
            </c:extLst>
          </c:dPt>
          <c:dPt>
            <c:idx val="5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4-A533-0A46-90D0-4708233A4AB2}"/>
              </c:ext>
            </c:extLst>
          </c:dPt>
          <c:dPt>
            <c:idx val="6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5-A533-0A46-90D0-4708233A4AB2}"/>
              </c:ext>
            </c:extLst>
          </c:dPt>
          <c:dPt>
            <c:idx val="7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6-A533-0A46-90D0-4708233A4AB2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7-A533-0A46-90D0-4708233A4AB2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8-A533-0A46-90D0-4708233A4AB2}"/>
              </c:ext>
            </c:extLst>
          </c:dPt>
          <c:dPt>
            <c:idx val="2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533-0A46-90D0-4708233A4AB2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'4th bg284g'!$I$29:$I$49</c:f>
                <c:numCache>
                  <c:formatCode>General</c:formatCode>
                  <c:ptCount val="21"/>
                  <c:pt idx="1">
                    <c:v>1.8543029354284771E-2</c:v>
                  </c:pt>
                  <c:pt idx="2">
                    <c:v>1.9883087725183018E-2</c:v>
                  </c:pt>
                  <c:pt idx="3">
                    <c:v>1.9917616632629281E-2</c:v>
                  </c:pt>
                  <c:pt idx="4">
                    <c:v>1.9884569008553871E-2</c:v>
                  </c:pt>
                  <c:pt idx="5">
                    <c:v>2.0388446592068052E-2</c:v>
                  </c:pt>
                  <c:pt idx="6">
                    <c:v>2.2995074248677042E-2</c:v>
                  </c:pt>
                  <c:pt idx="7">
                    <c:v>3.0049185403634188E-2</c:v>
                  </c:pt>
                  <c:pt idx="8">
                    <c:v>2.3965646207966318E-2</c:v>
                  </c:pt>
                  <c:pt idx="9">
                    <c:v>2.2967171743609738E-2</c:v>
                  </c:pt>
                  <c:pt idx="10">
                    <c:v>2.3842437343569833E-2</c:v>
                  </c:pt>
                  <c:pt idx="12">
                    <c:v>2.53383711624382E-2</c:v>
                  </c:pt>
                  <c:pt idx="13">
                    <c:v>3.4309377462291013E-2</c:v>
                  </c:pt>
                  <c:pt idx="14">
                    <c:v>3.8824904602432875E-2</c:v>
                  </c:pt>
                  <c:pt idx="15">
                    <c:v>5.7964262867277072E-2</c:v>
                  </c:pt>
                  <c:pt idx="16">
                    <c:v>5.6922964469833248E-2</c:v>
                  </c:pt>
                  <c:pt idx="17">
                    <c:v>4.3645861060999325E-2</c:v>
                  </c:pt>
                  <c:pt idx="18">
                    <c:v>4.7277944006595296E-2</c:v>
                  </c:pt>
                  <c:pt idx="19">
                    <c:v>6.1777216507771793E-2</c:v>
                  </c:pt>
                  <c:pt idx="20">
                    <c:v>0</c:v>
                  </c:pt>
                </c:numCache>
              </c:numRef>
            </c:plus>
            <c:minus>
              <c:numRef>
                <c:f>'4th bg284g'!$J$29:$J$49</c:f>
                <c:numCache>
                  <c:formatCode>General</c:formatCode>
                  <c:ptCount val="21"/>
                  <c:pt idx="1">
                    <c:v>1.9370208525465171E-2</c:v>
                  </c:pt>
                  <c:pt idx="2">
                    <c:v>2.0837243495485561E-2</c:v>
                  </c:pt>
                  <c:pt idx="3">
                    <c:v>2.0875169701124671E-2</c:v>
                  </c:pt>
                  <c:pt idx="4">
                    <c:v>2.0838870392389616E-2</c:v>
                  </c:pt>
                  <c:pt idx="5">
                    <c:v>2.1392956745963067E-2</c:v>
                  </c:pt>
                  <c:pt idx="6">
                    <c:v>2.4281025994411402E-2</c:v>
                  </c:pt>
                  <c:pt idx="7">
                    <c:v>3.2283891472068171E-2</c:v>
                  </c:pt>
                  <c:pt idx="8">
                    <c:v>2.5365780545727024E-2</c:v>
                  </c:pt>
                  <c:pt idx="9">
                    <c:v>2.4249916726574616E-2</c:v>
                  </c:pt>
                  <c:pt idx="10">
                    <c:v>2.522779208106618E-2</c:v>
                  </c:pt>
                  <c:pt idx="12">
                    <c:v>2.6908804905975081E-2</c:v>
                  </c:pt>
                  <c:pt idx="13">
                    <c:v>3.7254125514274927E-2</c:v>
                  </c:pt>
                  <c:pt idx="14">
                    <c:v>4.2639570822314399E-2</c:v>
                  </c:pt>
                  <c:pt idx="15">
                    <c:v>6.6909880228313123E-2</c:v>
                  </c:pt>
                  <c:pt idx="16">
                    <c:v>6.5525560353508649E-2</c:v>
                  </c:pt>
                  <c:pt idx="17">
                    <c:v>4.8527342396350759E-2</c:v>
                  </c:pt>
                  <c:pt idx="18">
                    <c:v>5.3060605529805682E-2</c:v>
                  </c:pt>
                  <c:pt idx="19">
                    <c:v>7.2045689818744818E-2</c:v>
                  </c:pt>
                  <c:pt idx="20">
                    <c:v>0</c:v>
                  </c:pt>
                </c:numCache>
              </c:numRef>
            </c:minus>
          </c:errBars>
          <c:xVal>
            <c:numRef>
              <c:f>'4th bg284g'!$B$29:$B$49</c:f>
              <c:numCache>
                <c:formatCode>General</c:formatCode>
                <c:ptCount val="21"/>
                <c:pt idx="0">
                  <c:v>3.0413926851582249</c:v>
                </c:pt>
                <c:pt idx="1">
                  <c:v>3.5587085705331658</c:v>
                </c:pt>
                <c:pt idx="2">
                  <c:v>3.6020599913279625</c:v>
                </c:pt>
                <c:pt idx="3">
                  <c:v>3.8750612633917001</c:v>
                </c:pt>
                <c:pt idx="4">
                  <c:v>4</c:v>
                </c:pt>
                <c:pt idx="5">
                  <c:v>4.1760912590556813</c:v>
                </c:pt>
                <c:pt idx="6">
                  <c:v>4.3010299956639813</c:v>
                </c:pt>
                <c:pt idx="7">
                  <c:v>4.3979400086720375</c:v>
                </c:pt>
                <c:pt idx="8">
                  <c:v>4.4771212547196626</c:v>
                </c:pt>
                <c:pt idx="9">
                  <c:v>4.5440680443502757</c:v>
                </c:pt>
                <c:pt idx="10">
                  <c:v>4.6020599913279625</c:v>
                </c:pt>
                <c:pt idx="11">
                  <c:v>4.6334684555795862</c:v>
                </c:pt>
                <c:pt idx="12">
                  <c:v>4.653212513775344</c:v>
                </c:pt>
                <c:pt idx="13">
                  <c:v>4.6989700043360187</c:v>
                </c:pt>
                <c:pt idx="14">
                  <c:v>4.7403626894942441</c:v>
                </c:pt>
                <c:pt idx="15">
                  <c:v>4.7781512503836439</c:v>
                </c:pt>
                <c:pt idx="16">
                  <c:v>4.8129133566428557</c:v>
                </c:pt>
                <c:pt idx="17">
                  <c:v>4.8450980400142569</c:v>
                </c:pt>
                <c:pt idx="18">
                  <c:v>4.8750612633917001</c:v>
                </c:pt>
                <c:pt idx="19">
                  <c:v>4.9030899869919438</c:v>
                </c:pt>
                <c:pt idx="20">
                  <c:v>4.9294189257142929</c:v>
                </c:pt>
              </c:numCache>
            </c:numRef>
          </c:xVal>
          <c:yVal>
            <c:numRef>
              <c:f>'4th bg284g'!$H$29:$H$49</c:f>
              <c:numCache>
                <c:formatCode>General</c:formatCode>
                <c:ptCount val="21"/>
                <c:pt idx="1">
                  <c:v>0.10537391414384713</c:v>
                </c:pt>
                <c:pt idx="2">
                  <c:v>8.4433276786544623E-2</c:v>
                </c:pt>
                <c:pt idx="3">
                  <c:v>8.7461966171819214E-2</c:v>
                </c:pt>
                <c:pt idx="4">
                  <c:v>0.10160961723311129</c:v>
                </c:pt>
                <c:pt idx="5">
                  <c:v>7.3278335635834801E-2</c:v>
                </c:pt>
                <c:pt idx="6">
                  <c:v>9.9773035779373003E-4</c:v>
                </c:pt>
                <c:pt idx="7">
                  <c:v>-0.19619476889845852</c:v>
                </c:pt>
                <c:pt idx="8">
                  <c:v>-0.37182571555167532</c:v>
                </c:pt>
                <c:pt idx="9">
                  <c:v>-0.34216044614204022</c:v>
                </c:pt>
                <c:pt idx="10">
                  <c:v>-0.34842157365622056</c:v>
                </c:pt>
                <c:pt idx="12">
                  <c:v>-0.3604238720392835</c:v>
                </c:pt>
                <c:pt idx="13">
                  <c:v>-0.46618982498943035</c:v>
                </c:pt>
                <c:pt idx="14">
                  <c:v>-0.50998530486323612</c:v>
                </c:pt>
                <c:pt idx="15">
                  <c:v>-0.62834116028459108</c:v>
                </c:pt>
                <c:pt idx="16">
                  <c:v>-0.63573049616408417</c:v>
                </c:pt>
                <c:pt idx="17">
                  <c:v>-0.48383495885575772</c:v>
                </c:pt>
                <c:pt idx="18">
                  <c:v>-0.49962628564662609</c:v>
                </c:pt>
                <c:pt idx="19">
                  <c:v>-0.55083026783479905</c:v>
                </c:pt>
                <c:pt idx="20">
                  <c:v>-0.78688086118854372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533-0A46-90D0-4708233A4AB2}"/>
            </c:ext>
          </c:extLst>
        </c:ser>
        <c:ser>
          <c:idx val="0"/>
          <c:order val="1"/>
          <c:tx>
            <c:v>L-Band</c:v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circle"/>
            <c:size val="7"/>
            <c:spPr>
              <a:solidFill>
                <a:schemeClr val="accent5"/>
              </a:solidFill>
              <a:ln>
                <a:noFill/>
              </a:ln>
            </c:spPr>
          </c:marker>
          <c:dPt>
            <c:idx val="0"/>
            <c:marker>
              <c:symbol val="square"/>
              <c:size val="7"/>
            </c:marker>
            <c:bubble3D val="0"/>
            <c:spPr>
              <a:ln cap="flat">
                <a:solidFill>
                  <a:schemeClr val="accent4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C-A533-0A46-90D0-4708233A4AB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A533-0A46-90D0-4708233A4AB2}"/>
              </c:ext>
            </c:extLst>
          </c:dPt>
          <c:dPt>
            <c:idx val="2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E-A533-0A46-90D0-4708233A4AB2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F-A533-0A46-90D0-4708233A4AB2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10-A533-0A46-90D0-4708233A4AB2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1-A533-0A46-90D0-4708233A4AB2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2-A533-0A46-90D0-4708233A4AB2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13-A533-0A46-90D0-4708233A4AB2}"/>
              </c:ext>
            </c:extLst>
          </c:dPt>
          <c:dPt>
            <c:idx val="8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A533-0A46-90D0-4708233A4AB2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5-A533-0A46-90D0-4708233A4AB2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6-A533-0A46-90D0-4708233A4AB2}"/>
              </c:ext>
            </c:extLst>
          </c:dPt>
          <c:dPt>
            <c:idx val="11"/>
            <c:marker>
              <c:spPr>
                <a:solidFill>
                  <a:schemeClr val="accent5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A533-0A46-90D0-4708233A4AB2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'4th bg284g'!$D$29:$D$37</c:f>
                <c:numCache>
                  <c:formatCode>General</c:formatCode>
                  <c:ptCount val="9"/>
                  <c:pt idx="0">
                    <c:v>1.4565262407707114E-2</c:v>
                  </c:pt>
                  <c:pt idx="2">
                    <c:v>1.4133483201767438E-2</c:v>
                  </c:pt>
                  <c:pt idx="3">
                    <c:v>1.0292559209863883E-2</c:v>
                  </c:pt>
                  <c:pt idx="4">
                    <c:v>1.261800551103251E-2</c:v>
                  </c:pt>
                  <c:pt idx="5">
                    <c:v>1.7475256525702636E-2</c:v>
                  </c:pt>
                  <c:pt idx="6">
                    <c:v>2.3630955920679694E-2</c:v>
                  </c:pt>
                  <c:pt idx="7">
                    <c:v>3.7201179326650367E-2</c:v>
                  </c:pt>
                  <c:pt idx="8">
                    <c:v>0</c:v>
                  </c:pt>
                </c:numCache>
              </c:numRef>
            </c:plus>
            <c:minus>
              <c:numRef>
                <c:f>'4th bg284g'!$E$29:$E$37</c:f>
                <c:numCache>
                  <c:formatCode>General</c:formatCode>
                  <c:ptCount val="9"/>
                  <c:pt idx="0">
                    <c:v>1.5070750586842235E-2</c:v>
                  </c:pt>
                  <c:pt idx="2">
                    <c:v>1.4608953758616539E-2</c:v>
                  </c:pt>
                  <c:pt idx="3">
                    <c:v>1.0542421230777144E-2</c:v>
                  </c:pt>
                  <c:pt idx="4">
                    <c:v>1.2995607659983074E-2</c:v>
                  </c:pt>
                  <c:pt idx="5">
                    <c:v>1.8208018612959974E-2</c:v>
                  </c:pt>
                  <c:pt idx="6">
                    <c:v>2.499113561056068E-2</c:v>
                  </c:pt>
                  <c:pt idx="7">
                    <c:v>4.0688874327439187E-2</c:v>
                  </c:pt>
                  <c:pt idx="8">
                    <c:v>0</c:v>
                  </c:pt>
                </c:numCache>
              </c:numRef>
            </c:minus>
          </c:errBars>
          <c:xVal>
            <c:numRef>
              <c:f>'4th bg284g'!$B$29:$B$37</c:f>
              <c:numCache>
                <c:formatCode>General</c:formatCode>
                <c:ptCount val="9"/>
                <c:pt idx="0">
                  <c:v>3.0413926851582249</c:v>
                </c:pt>
                <c:pt idx="1">
                  <c:v>3.5587085705331658</c:v>
                </c:pt>
                <c:pt idx="2">
                  <c:v>3.6020599913279625</c:v>
                </c:pt>
                <c:pt idx="3">
                  <c:v>3.8750612633917001</c:v>
                </c:pt>
                <c:pt idx="4">
                  <c:v>4</c:v>
                </c:pt>
                <c:pt idx="5">
                  <c:v>4.1760912590556813</c:v>
                </c:pt>
                <c:pt idx="6">
                  <c:v>4.3010299956639813</c:v>
                </c:pt>
                <c:pt idx="7">
                  <c:v>4.3979400086720375</c:v>
                </c:pt>
                <c:pt idx="8">
                  <c:v>4.4771212547196626</c:v>
                </c:pt>
              </c:numCache>
            </c:numRef>
          </c:xVal>
          <c:yVal>
            <c:numRef>
              <c:f>'4th bg284g'!$C$29:$C$37</c:f>
              <c:numCache>
                <c:formatCode>General</c:formatCode>
                <c:ptCount val="9"/>
                <c:pt idx="0">
                  <c:v>0.26095339810410351</c:v>
                </c:pt>
                <c:pt idx="2">
                  <c:v>0.27563378775101394</c:v>
                </c:pt>
                <c:pt idx="3">
                  <c:v>0.13861843389949255</c:v>
                </c:pt>
                <c:pt idx="4">
                  <c:v>0.11025291735340299</c:v>
                </c:pt>
                <c:pt idx="5">
                  <c:v>5.869168281922995E-2</c:v>
                </c:pt>
                <c:pt idx="6">
                  <c:v>4.060234011407314E-2</c:v>
                </c:pt>
                <c:pt idx="7">
                  <c:v>-9.9943208957152339E-3</c:v>
                </c:pt>
                <c:pt idx="8">
                  <c:v>-0.49757288001556732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533-0A46-90D0-4708233A4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09363"/>
        <c:axId val="904966794"/>
      </c:scatterChart>
      <c:valAx>
        <c:axId val="49509363"/>
        <c:scaling>
          <c:orientation val="minMax"/>
          <c:max val="5"/>
          <c:min val="3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b_min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E"/>
          </a:p>
        </c:txPr>
        <c:crossAx val="904966794"/>
        <c:crosses val="autoZero"/>
        <c:crossBetween val="midCat"/>
        <c:majorUnit val="10000"/>
      </c:valAx>
      <c:valAx>
        <c:axId val="904966794"/>
        <c:scaling>
          <c:orientation val="minMax"/>
          <c:max val="0.35"/>
          <c:min val="-0.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Flux milliJy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GE"/>
          </a:p>
        </c:txPr>
        <c:crossAx val="49509363"/>
        <c:crosses val="autoZero"/>
        <c:crossBetween val="midCat"/>
        <c:majorUnit val="0.1"/>
      </c:valAx>
    </c:plotArea>
    <c:legend>
      <c:legendPos val="b"/>
      <c:overlay val="0"/>
    </c:legend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145003</xdr:colOff>
      <xdr:row>0</xdr:row>
      <xdr:rowOff>16934</xdr:rowOff>
    </xdr:from>
    <xdr:ext cx="5715000" cy="4860494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FA1EC367-290B-C447-8EE1-F2E00D3B3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26</xdr:col>
      <xdr:colOff>450851</xdr:colOff>
      <xdr:row>24</xdr:row>
      <xdr:rowOff>99680</xdr:rowOff>
    </xdr:from>
    <xdr:to>
      <xdr:col>31</xdr:col>
      <xdr:colOff>647701</xdr:colOff>
      <xdr:row>41</xdr:row>
      <xdr:rowOff>36179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551FB2-616C-D143-8F3E-C2039136A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313267</xdr:colOff>
      <xdr:row>59</xdr:row>
      <xdr:rowOff>80433</xdr:rowOff>
    </xdr:from>
    <xdr:to>
      <xdr:col>7</xdr:col>
      <xdr:colOff>750712</xdr:colOff>
      <xdr:row>76</xdr:row>
      <xdr:rowOff>25399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C81B74-DC72-1540-9600-BA6129F58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810260</xdr:colOff>
      <xdr:row>58</xdr:row>
      <xdr:rowOff>165100</xdr:rowOff>
    </xdr:from>
    <xdr:to>
      <xdr:col>13</xdr:col>
      <xdr:colOff>665179</xdr:colOff>
      <xdr:row>75</xdr:row>
      <xdr:rowOff>88900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73DEE03-D3EE-884C-AF3E-903B90301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19</xdr:col>
      <xdr:colOff>67733</xdr:colOff>
      <xdr:row>0</xdr:row>
      <xdr:rowOff>0</xdr:rowOff>
    </xdr:from>
    <xdr:ext cx="5715000" cy="4860494"/>
    <xdr:graphicFrame macro="">
      <xdr:nvGraphicFramePr>
        <xdr:cNvPr id="10" name="Chart 9" title="Chart">
          <a:extLst>
            <a:ext uri="{FF2B5EF4-FFF2-40B4-BE49-F238E27FC236}">
              <a16:creationId xmlns:a16="http://schemas.microsoft.com/office/drawing/2014/main" id="{DE819633-DF69-8449-BC2F-875A796BA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375912</xdr:colOff>
      <xdr:row>0</xdr:row>
      <xdr:rowOff>74662</xdr:rowOff>
    </xdr:from>
    <xdr:ext cx="5715000" cy="3938538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AFE3A865-BACB-E248-A50F-9F0F3AAF9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8</xdr:col>
      <xdr:colOff>641677</xdr:colOff>
      <xdr:row>70</xdr:row>
      <xdr:rowOff>61642</xdr:rowOff>
    </xdr:from>
    <xdr:to>
      <xdr:col>15</xdr:col>
      <xdr:colOff>663653</xdr:colOff>
      <xdr:row>94</xdr:row>
      <xdr:rowOff>53753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FD952AE-A662-CB41-A9A2-919381F95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355600</xdr:colOff>
      <xdr:row>23</xdr:row>
      <xdr:rowOff>152400</xdr:rowOff>
    </xdr:from>
    <xdr:ext cx="5715000" cy="3938538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8BFE36B5-924C-0E4B-81B3-55CB2EEFE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145003</xdr:colOff>
      <xdr:row>0</xdr:row>
      <xdr:rowOff>16934</xdr:rowOff>
    </xdr:from>
    <xdr:ext cx="5715000" cy="4860494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1097B5C8-82BD-C34E-84A9-25A4632E8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26873</xdr:colOff>
      <xdr:row>62</xdr:row>
      <xdr:rowOff>39976</xdr:rowOff>
    </xdr:from>
    <xdr:to>
      <xdr:col>7</xdr:col>
      <xdr:colOff>462224</xdr:colOff>
      <xdr:row>78</xdr:row>
      <xdr:rowOff>148182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BBD6E1-E3D4-A746-88D8-7A596ED39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19</xdr:col>
      <xdr:colOff>80434</xdr:colOff>
      <xdr:row>0</xdr:row>
      <xdr:rowOff>67734</xdr:rowOff>
    </xdr:from>
    <xdr:ext cx="6184900" cy="484481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92D8B750-FA98-F947-BF7B-F687F7DB8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7</xdr:col>
      <xdr:colOff>464387</xdr:colOff>
      <xdr:row>62</xdr:row>
      <xdr:rowOff>67193</xdr:rowOff>
    </xdr:from>
    <xdr:to>
      <xdr:col>13</xdr:col>
      <xdr:colOff>319306</xdr:colOff>
      <xdr:row>80</xdr:row>
      <xdr:rowOff>125605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C89BF3-C1EE-C24A-B6E0-977900465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548953</xdr:colOff>
      <xdr:row>10</xdr:row>
      <xdr:rowOff>57422</xdr:rowOff>
    </xdr:from>
    <xdr:to>
      <xdr:col>31</xdr:col>
      <xdr:colOff>745803</xdr:colOff>
      <xdr:row>26</xdr:row>
      <xdr:rowOff>162010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E3CDEE0-F484-6008-D728-1EC87CA8E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145003</xdr:colOff>
      <xdr:row>0</xdr:row>
      <xdr:rowOff>16934</xdr:rowOff>
    </xdr:from>
    <xdr:ext cx="5715000" cy="4860494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19F69A2B-78D6-E648-BF96-C801AD3B1A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26</xdr:col>
      <xdr:colOff>173161</xdr:colOff>
      <xdr:row>15</xdr:row>
      <xdr:rowOff>18089</xdr:rowOff>
    </xdr:from>
    <xdr:to>
      <xdr:col>31</xdr:col>
      <xdr:colOff>370011</xdr:colOff>
      <xdr:row>31</xdr:row>
      <xdr:rowOff>117030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8683C9-87DB-DE46-8F71-6E3583627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827341</xdr:colOff>
      <xdr:row>65</xdr:row>
      <xdr:rowOff>41881</xdr:rowOff>
    </xdr:from>
    <xdr:to>
      <xdr:col>7</xdr:col>
      <xdr:colOff>443520</xdr:colOff>
      <xdr:row>81</xdr:row>
      <xdr:rowOff>148266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788BDF-C061-3E46-A3CE-30702AEA1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531693</xdr:colOff>
      <xdr:row>63</xdr:row>
      <xdr:rowOff>29985</xdr:rowOff>
    </xdr:from>
    <xdr:to>
      <xdr:col>13</xdr:col>
      <xdr:colOff>392956</xdr:colOff>
      <xdr:row>83</xdr:row>
      <xdr:rowOff>17151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57068E7-ED4C-7545-865C-43E5E3F9F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19</xdr:col>
      <xdr:colOff>88604</xdr:colOff>
      <xdr:row>0</xdr:row>
      <xdr:rowOff>14767</xdr:rowOff>
    </xdr:from>
    <xdr:ext cx="5715000" cy="4860494"/>
    <xdr:graphicFrame macro="">
      <xdr:nvGraphicFramePr>
        <xdr:cNvPr id="9" name="Chart 8" title="Chart">
          <a:extLst>
            <a:ext uri="{FF2B5EF4-FFF2-40B4-BE49-F238E27FC236}">
              <a16:creationId xmlns:a16="http://schemas.microsoft.com/office/drawing/2014/main" id="{AAE04A66-0BF0-CC47-8716-301C69D3A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15F3-50D7-7D4E-B6F9-73715901C07E}">
  <dimension ref="A1:AK141"/>
  <sheetViews>
    <sheetView zoomScale="125" zoomScaleNormal="66" workbookViewId="0">
      <selection activeCell="C1" sqref="C1"/>
    </sheetView>
  </sheetViews>
  <sheetFormatPr baseColWidth="10" defaultRowHeight="13" x14ac:dyDescent="0.15"/>
  <cols>
    <col min="1" max="4" width="10.83203125" style="14"/>
    <col min="5" max="5" width="13.6640625" style="14" customWidth="1"/>
    <col min="6" max="16384" width="10.83203125" style="14"/>
  </cols>
  <sheetData>
    <row r="1" spans="2:37" x14ac:dyDescent="0.15">
      <c r="C1" s="1" t="s">
        <v>3</v>
      </c>
      <c r="D1" s="15"/>
      <c r="E1" s="15" t="s">
        <v>67</v>
      </c>
    </row>
    <row r="2" spans="2:37" x14ac:dyDescent="0.15">
      <c r="C2" s="14" t="s">
        <v>38</v>
      </c>
      <c r="F2" s="15"/>
      <c r="H2" s="15" t="s">
        <v>39</v>
      </c>
      <c r="I2" s="15"/>
      <c r="J2" s="15"/>
      <c r="K2" s="15"/>
      <c r="S2" s="15"/>
      <c r="T2" s="15"/>
      <c r="U2" s="15"/>
      <c r="V2" s="15"/>
      <c r="W2" s="15"/>
      <c r="X2" s="15"/>
      <c r="Y2" s="15"/>
      <c r="Z2" s="15"/>
    </row>
    <row r="3" spans="2:37" ht="14" x14ac:dyDescent="0.15">
      <c r="B3" s="15" t="s">
        <v>5</v>
      </c>
      <c r="C3" s="15" t="s">
        <v>35</v>
      </c>
      <c r="D3" s="37" t="s">
        <v>6</v>
      </c>
      <c r="E3" s="37"/>
      <c r="F3" s="15" t="s">
        <v>34</v>
      </c>
      <c r="G3" s="15" t="s">
        <v>10</v>
      </c>
      <c r="H3" s="15" t="s">
        <v>35</v>
      </c>
      <c r="I3" s="37" t="s">
        <v>6</v>
      </c>
      <c r="J3" s="37"/>
      <c r="K3" s="15" t="s">
        <v>34</v>
      </c>
      <c r="L3" s="15" t="s">
        <v>10</v>
      </c>
      <c r="M3" s="15"/>
      <c r="AB3" s="6" t="s">
        <v>65</v>
      </c>
      <c r="AC3" s="3" t="s">
        <v>66</v>
      </c>
      <c r="AD3" s="3" t="s">
        <v>6</v>
      </c>
      <c r="AH3" s="6" t="s">
        <v>41</v>
      </c>
      <c r="AI3" s="6" t="s">
        <v>42</v>
      </c>
      <c r="AJ3" s="6" t="s">
        <v>41</v>
      </c>
      <c r="AK3" s="6" t="s">
        <v>42</v>
      </c>
    </row>
    <row r="4" spans="2:37" ht="14" x14ac:dyDescent="0.15">
      <c r="B4" s="15">
        <v>1090</v>
      </c>
      <c r="C4" s="15">
        <f>1000*C51</f>
        <v>3.4556999999999998</v>
      </c>
      <c r="D4" s="15">
        <f>1000*D51</f>
        <v>7.5400000000000009E-2</v>
      </c>
      <c r="E4" s="15"/>
      <c r="F4" s="14">
        <f>1000*AE51</f>
        <v>2.8900000000000002E-2</v>
      </c>
      <c r="G4" s="15" t="str">
        <f>E51</f>
        <v>Resolved</v>
      </c>
      <c r="H4" s="27"/>
      <c r="I4" s="27"/>
      <c r="J4" s="27"/>
      <c r="K4" s="27"/>
      <c r="L4" s="27"/>
      <c r="W4" s="19"/>
      <c r="X4" s="19"/>
      <c r="Y4" s="19"/>
      <c r="Z4" s="19"/>
      <c r="AB4" s="15">
        <v>1090</v>
      </c>
      <c r="AC4" s="26"/>
      <c r="AD4" s="26"/>
      <c r="AG4" s="15">
        <v>1090</v>
      </c>
      <c r="AH4" s="19">
        <f>C4+D4</f>
        <v>3.5310999999999999</v>
      </c>
      <c r="AI4" s="19">
        <f>C4-D4</f>
        <v>3.3802999999999996</v>
      </c>
      <c r="AJ4" s="26"/>
      <c r="AK4" s="26"/>
    </row>
    <row r="5" spans="2:37" ht="14" x14ac:dyDescent="0.15">
      <c r="B5" s="14">
        <v>3445</v>
      </c>
      <c r="C5" s="27"/>
      <c r="D5" s="27"/>
      <c r="E5" s="27"/>
      <c r="F5" s="27"/>
      <c r="G5" s="27"/>
      <c r="H5" s="14">
        <f>1000*C82</f>
        <v>1.4082000000000001</v>
      </c>
      <c r="I5" s="14">
        <f>1000*D82</f>
        <v>7.619999999999999E-2</v>
      </c>
      <c r="K5" s="14">
        <f>1000*AE82</f>
        <v>1.7730000000000003E-2</v>
      </c>
      <c r="L5" s="15" t="str">
        <f>E82</f>
        <v>Resolved</v>
      </c>
      <c r="W5" s="19"/>
      <c r="X5" s="19"/>
      <c r="Y5" s="19"/>
      <c r="Z5" s="19"/>
      <c r="AB5" s="14">
        <v>3445</v>
      </c>
      <c r="AC5" s="24"/>
      <c r="AD5" s="24"/>
      <c r="AG5" s="14">
        <v>3445</v>
      </c>
      <c r="AH5" s="26"/>
      <c r="AI5" s="26"/>
      <c r="AJ5" s="19">
        <f>H5+I5</f>
        <v>1.4844000000000002</v>
      </c>
      <c r="AK5" s="19">
        <f>H5-I5</f>
        <v>1.3320000000000001</v>
      </c>
    </row>
    <row r="6" spans="2:37" x14ac:dyDescent="0.15">
      <c r="B6" s="15">
        <v>5000</v>
      </c>
      <c r="C6" s="15">
        <f>1000*C52</f>
        <v>2.6034000000000002</v>
      </c>
      <c r="D6" s="15">
        <f>1000*D52</f>
        <v>8.3499999999999991E-2</v>
      </c>
      <c r="E6" s="15"/>
      <c r="F6" s="14">
        <f>1000*AE52</f>
        <v>3.4200000000000001E-2</v>
      </c>
      <c r="G6" s="15" t="str">
        <f>E52</f>
        <v>Resolved</v>
      </c>
      <c r="H6" s="14">
        <f t="shared" ref="H6:I13" si="0">1000*C83</f>
        <v>1.3769</v>
      </c>
      <c r="I6" s="14">
        <f t="shared" si="0"/>
        <v>7.7799999999999994E-2</v>
      </c>
      <c r="K6" s="14">
        <f t="shared" ref="K6:K13" si="1">1000*AE83</f>
        <v>1.686E-2</v>
      </c>
      <c r="L6" s="15" t="str">
        <f t="shared" ref="L6:L11" si="2">E83</f>
        <v>Resolved</v>
      </c>
      <c r="AB6" s="15">
        <v>5000</v>
      </c>
      <c r="AC6" s="14">
        <f>LOG10(H6/C6)/LOG10(4.8/1.4)</f>
        <v>-0.51697192239283218</v>
      </c>
      <c r="AD6" s="14">
        <f>(1/(LN(4.8/1.4)))*SQRT((D6/C6)^2+(I6/H6)^2)</f>
        <v>5.273097314922217E-2</v>
      </c>
      <c r="AG6" s="15">
        <v>5000</v>
      </c>
      <c r="AH6" s="19">
        <f t="shared" ref="AH6:AH13" si="3">C6+D6</f>
        <v>2.6869000000000001</v>
      </c>
      <c r="AI6" s="19">
        <f t="shared" ref="AI6:AI13" si="4">C6-D6</f>
        <v>2.5199000000000003</v>
      </c>
      <c r="AJ6" s="19">
        <f t="shared" ref="AJ6:AJ16" si="5">H6+I6</f>
        <v>1.4547000000000001</v>
      </c>
      <c r="AK6" s="19">
        <f t="shared" ref="AK6:AK16" si="6">H6-I6</f>
        <v>1.2990999999999999</v>
      </c>
    </row>
    <row r="7" spans="2:37" x14ac:dyDescent="0.15">
      <c r="B7" s="15">
        <v>10000</v>
      </c>
      <c r="C7" s="15">
        <f t="shared" ref="C7:D7" si="7">1000*C53</f>
        <v>1.7206000000000001</v>
      </c>
      <c r="D7" s="15">
        <f t="shared" si="7"/>
        <v>8.8399999999999992E-2</v>
      </c>
      <c r="E7" s="15"/>
      <c r="F7" s="14">
        <f t="shared" ref="F7:F13" si="8">1000*AE53</f>
        <v>3.8800000000000001E-2</v>
      </c>
      <c r="G7" s="15" t="str">
        <f t="shared" ref="G7:G13" si="9">E53</f>
        <v>Resolved</v>
      </c>
      <c r="H7" s="14">
        <f t="shared" si="0"/>
        <v>1.3381999999999998</v>
      </c>
      <c r="I7" s="14">
        <f t="shared" si="0"/>
        <v>8.0599999999999991E-2</v>
      </c>
      <c r="K7" s="14">
        <f t="shared" si="1"/>
        <v>1.7689999999999997E-2</v>
      </c>
      <c r="L7" s="15" t="str">
        <f t="shared" si="2"/>
        <v>Resolved</v>
      </c>
      <c r="AB7" s="15">
        <v>10000</v>
      </c>
      <c r="AC7" s="14">
        <f t="shared" ref="AC7:AC11" si="10">LOG10(H7/C7)/LOG10(4.8/1.4)</f>
        <v>-0.2039921509598982</v>
      </c>
      <c r="AD7" s="14">
        <f t="shared" ref="AD7:AD11" si="11">(1/(LN(4.8/1.4)))*SQRT((D7/C7)^2+(I7/H7)^2)</f>
        <v>6.4250913606856044E-2</v>
      </c>
      <c r="AG7" s="15">
        <v>10000</v>
      </c>
      <c r="AH7" s="19">
        <f t="shared" si="3"/>
        <v>1.8090000000000002</v>
      </c>
      <c r="AI7" s="19">
        <f t="shared" si="4"/>
        <v>1.6322000000000001</v>
      </c>
      <c r="AJ7" s="19">
        <f t="shared" si="5"/>
        <v>1.4187999999999998</v>
      </c>
      <c r="AK7" s="19">
        <f t="shared" si="6"/>
        <v>1.2575999999999998</v>
      </c>
    </row>
    <row r="8" spans="2:37" x14ac:dyDescent="0.15">
      <c r="B8" s="15">
        <v>15000</v>
      </c>
      <c r="C8" s="15">
        <f t="shared" ref="C8:D8" si="12">1000*C54</f>
        <v>1.1425999999999998</v>
      </c>
      <c r="D8" s="15">
        <f t="shared" si="12"/>
        <v>0.11600000000000001</v>
      </c>
      <c r="E8" s="15"/>
      <c r="F8" s="14">
        <f t="shared" si="8"/>
        <v>5.1400000000000001E-2</v>
      </c>
      <c r="G8" s="15" t="str">
        <f t="shared" si="9"/>
        <v>Resolved</v>
      </c>
      <c r="H8" s="14">
        <f t="shared" si="0"/>
        <v>1.1705999999999999</v>
      </c>
      <c r="I8" s="14">
        <f t="shared" si="0"/>
        <v>7.4499999999999997E-2</v>
      </c>
      <c r="K8" s="14">
        <f t="shared" si="1"/>
        <v>1.7589999999999998E-2</v>
      </c>
      <c r="L8" s="15" t="str">
        <f t="shared" si="2"/>
        <v>Resolved</v>
      </c>
      <c r="AB8" s="15">
        <v>15000</v>
      </c>
      <c r="AC8" s="14">
        <f t="shared" si="10"/>
        <v>1.9648739781191558E-2</v>
      </c>
      <c r="AD8" s="14">
        <f t="shared" si="11"/>
        <v>9.7246617822274048E-2</v>
      </c>
      <c r="AG8" s="15">
        <v>15000</v>
      </c>
      <c r="AH8" s="19">
        <f t="shared" si="3"/>
        <v>1.2585999999999999</v>
      </c>
      <c r="AI8" s="19">
        <f t="shared" si="4"/>
        <v>1.0265999999999997</v>
      </c>
      <c r="AJ8" s="19">
        <f t="shared" si="5"/>
        <v>1.2450999999999999</v>
      </c>
      <c r="AK8" s="19">
        <f t="shared" si="6"/>
        <v>1.0960999999999999</v>
      </c>
    </row>
    <row r="9" spans="2:37" x14ac:dyDescent="0.15">
      <c r="B9" s="15">
        <v>20000</v>
      </c>
      <c r="C9" s="15">
        <f t="shared" ref="C9:D9" si="13">1000*C55</f>
        <v>0.49842999999999998</v>
      </c>
      <c r="D9" s="15">
        <f t="shared" si="13"/>
        <v>7.46E-2</v>
      </c>
      <c r="E9" s="15"/>
      <c r="F9" s="14">
        <f t="shared" si="8"/>
        <v>7.7899999999999997E-2</v>
      </c>
      <c r="G9" s="15" t="str">
        <f t="shared" si="9"/>
        <v>Unresolved</v>
      </c>
      <c r="H9" s="14">
        <f t="shared" si="0"/>
        <v>0.71878999999999993</v>
      </c>
      <c r="I9" s="14">
        <f t="shared" si="0"/>
        <v>5.8000000000000003E-2</v>
      </c>
      <c r="K9" s="14">
        <f t="shared" si="1"/>
        <v>1.865E-2</v>
      </c>
      <c r="L9" s="15" t="str">
        <f t="shared" si="2"/>
        <v>Resolved</v>
      </c>
      <c r="AB9" s="15">
        <v>20000</v>
      </c>
      <c r="AC9" s="14">
        <f t="shared" si="10"/>
        <v>0.29712937705021258</v>
      </c>
      <c r="AD9" s="14">
        <f t="shared" si="11"/>
        <v>0.13799994933330176</v>
      </c>
      <c r="AG9" s="15">
        <v>20000</v>
      </c>
      <c r="AH9" s="19">
        <f t="shared" si="3"/>
        <v>0.57302999999999993</v>
      </c>
      <c r="AI9" s="19">
        <f t="shared" si="4"/>
        <v>0.42382999999999998</v>
      </c>
      <c r="AJ9" s="19">
        <f t="shared" si="5"/>
        <v>0.77678999999999998</v>
      </c>
      <c r="AK9" s="19">
        <f t="shared" si="6"/>
        <v>0.66078999999999988</v>
      </c>
    </row>
    <row r="10" spans="2:37" x14ac:dyDescent="0.15">
      <c r="B10" s="15">
        <v>25000</v>
      </c>
      <c r="C10" s="15">
        <f t="shared" ref="C10:D10" si="14">1000*C56</f>
        <v>0.73379000000000005</v>
      </c>
      <c r="D10" s="15">
        <f t="shared" si="14"/>
        <v>0.26600000000000001</v>
      </c>
      <c r="E10" s="15"/>
      <c r="F10" s="14">
        <f t="shared" si="8"/>
        <v>0.106</v>
      </c>
      <c r="G10" s="15" t="str">
        <f t="shared" si="9"/>
        <v>Resolved</v>
      </c>
      <c r="H10" s="14">
        <f t="shared" si="0"/>
        <v>0.45815</v>
      </c>
      <c r="I10" s="14">
        <f t="shared" si="0"/>
        <v>4.5399999999999996E-2</v>
      </c>
      <c r="K10" s="14">
        <f t="shared" si="1"/>
        <v>1.9910000000000001E-2</v>
      </c>
      <c r="L10" s="15" t="str">
        <f t="shared" si="2"/>
        <v>Resolved</v>
      </c>
      <c r="AB10" s="15">
        <v>25000</v>
      </c>
      <c r="AC10" s="14">
        <f t="shared" si="10"/>
        <v>-0.38228191231032627</v>
      </c>
      <c r="AD10" s="14">
        <f t="shared" si="11"/>
        <v>0.30499838614268515</v>
      </c>
      <c r="AG10" s="15">
        <v>25000</v>
      </c>
      <c r="AH10" s="19">
        <f t="shared" si="3"/>
        <v>0.99979000000000007</v>
      </c>
      <c r="AI10" s="19">
        <f t="shared" si="4"/>
        <v>0.46779000000000004</v>
      </c>
      <c r="AJ10" s="19">
        <f t="shared" si="5"/>
        <v>0.50354999999999994</v>
      </c>
      <c r="AK10" s="19">
        <f t="shared" si="6"/>
        <v>0.41275000000000001</v>
      </c>
    </row>
    <row r="11" spans="2:37" x14ac:dyDescent="0.15">
      <c r="B11" s="15">
        <v>30000</v>
      </c>
      <c r="C11" s="15">
        <f t="shared" ref="C11:D11" si="15">1000*C57</f>
        <v>0.40774000000000005</v>
      </c>
      <c r="D11" s="15">
        <f t="shared" si="15"/>
        <v>0.128</v>
      </c>
      <c r="E11" s="28"/>
      <c r="F11" s="14">
        <f t="shared" si="8"/>
        <v>0.126</v>
      </c>
      <c r="G11" s="15" t="str">
        <f t="shared" si="9"/>
        <v>? (Unresolved)</v>
      </c>
      <c r="H11" s="14">
        <f t="shared" si="0"/>
        <v>0.37574000000000002</v>
      </c>
      <c r="I11" s="14">
        <f t="shared" si="0"/>
        <v>4.82E-2</v>
      </c>
      <c r="K11" s="14">
        <f t="shared" si="1"/>
        <v>2.0629999999999999E-2</v>
      </c>
      <c r="L11" s="15" t="str">
        <f t="shared" si="2"/>
        <v>Resolved</v>
      </c>
      <c r="AB11" s="15">
        <v>30000</v>
      </c>
      <c r="AC11" s="14">
        <f t="shared" si="10"/>
        <v>-6.6333417742397774E-2</v>
      </c>
      <c r="AD11" s="14">
        <f t="shared" si="11"/>
        <v>0.27523084755305866</v>
      </c>
      <c r="AG11" s="15">
        <v>30000</v>
      </c>
      <c r="AH11" s="19">
        <f t="shared" si="3"/>
        <v>0.53574000000000011</v>
      </c>
      <c r="AI11" s="19">
        <f t="shared" si="4"/>
        <v>0.27974000000000004</v>
      </c>
      <c r="AJ11" s="19">
        <f t="shared" si="5"/>
        <v>0.42394000000000004</v>
      </c>
      <c r="AK11" s="19">
        <f t="shared" si="6"/>
        <v>0.32754</v>
      </c>
    </row>
    <row r="12" spans="2:37" x14ac:dyDescent="0.15">
      <c r="B12" s="15">
        <v>35000</v>
      </c>
      <c r="C12" s="29"/>
      <c r="D12" s="29"/>
      <c r="E12" s="29"/>
      <c r="F12" s="29"/>
      <c r="G12" s="29"/>
      <c r="H12" s="14">
        <f t="shared" si="0"/>
        <v>0.31483</v>
      </c>
      <c r="I12" s="14">
        <f t="shared" si="0"/>
        <v>4.7699999999999999E-2</v>
      </c>
      <c r="K12" s="14">
        <f t="shared" si="1"/>
        <v>2.0709999999999999E-2</v>
      </c>
      <c r="L12" s="15" t="str">
        <f>E89</f>
        <v>Resolved</v>
      </c>
      <c r="AB12" s="15">
        <v>35000</v>
      </c>
      <c r="AC12" s="24"/>
      <c r="AD12" s="24"/>
      <c r="AG12" s="15">
        <v>35000</v>
      </c>
      <c r="AH12" s="29"/>
      <c r="AI12" s="29"/>
      <c r="AJ12" s="19">
        <f t="shared" si="5"/>
        <v>0.36253000000000002</v>
      </c>
      <c r="AK12" s="19">
        <f t="shared" si="6"/>
        <v>0.26712999999999998</v>
      </c>
    </row>
    <row r="13" spans="2:37" x14ac:dyDescent="0.15">
      <c r="B13" s="15">
        <v>40000</v>
      </c>
      <c r="C13" s="15">
        <f t="shared" ref="C13" si="16">1000*C59</f>
        <v>0.57600000000000007</v>
      </c>
      <c r="D13" s="15">
        <f>1000*D59</f>
        <v>0</v>
      </c>
      <c r="E13" s="28"/>
      <c r="F13" s="14">
        <f t="shared" si="8"/>
        <v>0.192</v>
      </c>
      <c r="G13" s="15" t="str">
        <f t="shared" si="9"/>
        <v>Non-detection</v>
      </c>
      <c r="H13" s="14">
        <f t="shared" si="0"/>
        <v>0.17496999999999999</v>
      </c>
      <c r="I13" s="14">
        <f t="shared" si="0"/>
        <v>5.1700000000000003E-2</v>
      </c>
      <c r="K13" s="14">
        <f t="shared" si="1"/>
        <v>2.2330000000000003E-2</v>
      </c>
      <c r="L13" s="15" t="str">
        <f>E90</f>
        <v>Resolved</v>
      </c>
      <c r="AB13" s="15">
        <v>40000</v>
      </c>
      <c r="AC13" s="24"/>
      <c r="AD13" s="24"/>
      <c r="AG13" s="15">
        <v>40000</v>
      </c>
      <c r="AH13" s="19">
        <f t="shared" si="3"/>
        <v>0.57600000000000007</v>
      </c>
      <c r="AI13" s="19">
        <f t="shared" si="4"/>
        <v>0.57600000000000007</v>
      </c>
      <c r="AJ13" s="19">
        <f t="shared" si="5"/>
        <v>0.22666999999999998</v>
      </c>
      <c r="AK13" s="19">
        <f t="shared" si="6"/>
        <v>0.12326999999999999</v>
      </c>
    </row>
    <row r="14" spans="2:37" x14ac:dyDescent="0.15">
      <c r="B14" s="15">
        <v>43000</v>
      </c>
      <c r="C14" s="29"/>
      <c r="D14" s="29"/>
      <c r="E14" s="29"/>
      <c r="F14" s="27"/>
      <c r="G14" s="27"/>
      <c r="H14" s="29"/>
      <c r="I14" s="29"/>
      <c r="J14" s="29"/>
      <c r="K14" s="29"/>
      <c r="L14" s="27"/>
      <c r="AB14" s="15">
        <v>43000</v>
      </c>
      <c r="AC14" s="24"/>
      <c r="AD14" s="24"/>
      <c r="AG14" s="15">
        <v>43000</v>
      </c>
      <c r="AH14" s="29"/>
      <c r="AI14" s="29"/>
      <c r="AJ14" s="25"/>
      <c r="AK14" s="25"/>
    </row>
    <row r="15" spans="2:37" x14ac:dyDescent="0.15">
      <c r="B15" s="15">
        <v>45000</v>
      </c>
      <c r="C15" s="29"/>
      <c r="D15" s="29"/>
      <c r="E15" s="29"/>
      <c r="F15" s="27"/>
      <c r="G15" s="27"/>
      <c r="H15" s="14">
        <f>1000*C91</f>
        <v>7.0949999999999985E-2</v>
      </c>
      <c r="I15" s="14">
        <f>1000*D91</f>
        <v>0</v>
      </c>
      <c r="K15" s="14">
        <f>1000*AE91</f>
        <v>2.3649999999999997E-2</v>
      </c>
      <c r="L15" s="15" t="str">
        <f>E91</f>
        <v>Non-detection</v>
      </c>
      <c r="AB15" s="15">
        <v>45000</v>
      </c>
      <c r="AC15" s="24"/>
      <c r="AD15" s="24"/>
      <c r="AG15" s="15">
        <v>45000</v>
      </c>
      <c r="AH15" s="29"/>
      <c r="AI15" s="29"/>
      <c r="AJ15" s="19">
        <f t="shared" si="5"/>
        <v>7.0949999999999985E-2</v>
      </c>
      <c r="AK15" s="19">
        <f t="shared" si="6"/>
        <v>7.0949999999999985E-2</v>
      </c>
    </row>
    <row r="16" spans="2:37" x14ac:dyDescent="0.15">
      <c r="B16" s="15">
        <v>50000</v>
      </c>
      <c r="C16" s="29"/>
      <c r="D16" s="29"/>
      <c r="E16" s="29"/>
      <c r="F16" s="27"/>
      <c r="G16" s="27"/>
      <c r="H16" s="30">
        <f>1000*C92</f>
        <v>7.7340000000000006E-2</v>
      </c>
      <c r="I16" s="30">
        <f>1000*D92</f>
        <v>0</v>
      </c>
      <c r="J16" s="30"/>
      <c r="K16" s="30">
        <f>1000*AE92</f>
        <v>2.5780000000000001E-2</v>
      </c>
      <c r="L16" s="30" t="str">
        <f>E92</f>
        <v>Non-detection</v>
      </c>
      <c r="AB16" s="15">
        <v>50000</v>
      </c>
      <c r="AC16" s="24"/>
      <c r="AD16" s="24"/>
      <c r="AG16" s="15">
        <v>50000</v>
      </c>
      <c r="AH16" s="29"/>
      <c r="AI16" s="29"/>
      <c r="AJ16" s="19">
        <f t="shared" si="5"/>
        <v>7.7340000000000006E-2</v>
      </c>
      <c r="AK16" s="19">
        <f t="shared" si="6"/>
        <v>7.7340000000000006E-2</v>
      </c>
    </row>
    <row r="17" spans="2:37" x14ac:dyDescent="0.15">
      <c r="B17" s="15">
        <v>55000</v>
      </c>
      <c r="C17" s="29"/>
      <c r="D17" s="29"/>
      <c r="E17" s="29"/>
      <c r="F17" s="27"/>
      <c r="G17" s="27"/>
      <c r="H17" s="29"/>
      <c r="I17" s="29"/>
      <c r="J17" s="29"/>
      <c r="K17" s="29"/>
      <c r="L17" s="27"/>
      <c r="AB17" s="15">
        <v>55000</v>
      </c>
      <c r="AC17" s="24"/>
      <c r="AD17" s="24"/>
      <c r="AG17" s="15">
        <v>55000</v>
      </c>
      <c r="AH17" s="29"/>
      <c r="AI17" s="29"/>
      <c r="AJ17" s="29"/>
      <c r="AK17" s="29"/>
    </row>
    <row r="18" spans="2:37" x14ac:dyDescent="0.15">
      <c r="B18" s="15">
        <v>60000</v>
      </c>
      <c r="C18" s="29"/>
      <c r="D18" s="29"/>
      <c r="E18" s="29"/>
      <c r="F18" s="27"/>
      <c r="G18" s="27"/>
      <c r="H18" s="29"/>
      <c r="I18" s="29"/>
      <c r="J18" s="29"/>
      <c r="K18" s="29"/>
      <c r="L18" s="27"/>
      <c r="AB18" s="15">
        <v>60000</v>
      </c>
      <c r="AC18" s="24"/>
      <c r="AD18" s="24"/>
      <c r="AG18" s="15">
        <v>60000</v>
      </c>
      <c r="AH18" s="29"/>
      <c r="AI18" s="29"/>
      <c r="AJ18" s="29"/>
      <c r="AK18" s="29"/>
    </row>
    <row r="19" spans="2:37" x14ac:dyDescent="0.15">
      <c r="B19" s="15">
        <v>65000</v>
      </c>
      <c r="C19" s="29"/>
      <c r="D19" s="29"/>
      <c r="E19" s="29"/>
      <c r="F19" s="27"/>
      <c r="G19" s="27"/>
      <c r="H19" s="29"/>
      <c r="I19" s="29"/>
      <c r="J19" s="29"/>
      <c r="K19" s="29"/>
      <c r="L19" s="27"/>
      <c r="AB19" s="15">
        <v>65000</v>
      </c>
      <c r="AC19" s="24"/>
      <c r="AD19" s="24"/>
      <c r="AG19" s="15">
        <v>65000</v>
      </c>
      <c r="AH19" s="29"/>
      <c r="AI19" s="29"/>
      <c r="AJ19" s="29"/>
      <c r="AK19" s="29"/>
    </row>
    <row r="20" spans="2:37" x14ac:dyDescent="0.15">
      <c r="B20" s="15">
        <v>70000</v>
      </c>
      <c r="C20" s="29"/>
      <c r="D20" s="29"/>
      <c r="E20" s="29"/>
      <c r="F20" s="27"/>
      <c r="G20" s="27"/>
      <c r="H20" s="29"/>
      <c r="I20" s="29"/>
      <c r="J20" s="29"/>
      <c r="K20" s="27"/>
      <c r="L20" s="27"/>
      <c r="AB20" s="15">
        <v>70000</v>
      </c>
      <c r="AC20" s="24"/>
      <c r="AD20" s="24"/>
      <c r="AG20" s="15">
        <v>70000</v>
      </c>
      <c r="AH20" s="29"/>
      <c r="AI20" s="29"/>
      <c r="AJ20" s="29"/>
      <c r="AK20" s="29"/>
    </row>
    <row r="21" spans="2:37" x14ac:dyDescent="0.15">
      <c r="B21" s="15">
        <v>75000</v>
      </c>
      <c r="C21" s="29"/>
      <c r="D21" s="29"/>
      <c r="E21" s="29"/>
      <c r="F21" s="27"/>
      <c r="G21" s="27"/>
      <c r="H21" s="29"/>
      <c r="I21" s="29"/>
      <c r="J21" s="29"/>
      <c r="K21" s="27"/>
      <c r="L21" s="27"/>
      <c r="AB21" s="15">
        <v>75000</v>
      </c>
      <c r="AC21" s="24"/>
      <c r="AD21" s="24"/>
      <c r="AG21" s="15">
        <v>75000</v>
      </c>
      <c r="AH21" s="29"/>
      <c r="AI21" s="29"/>
      <c r="AJ21" s="29"/>
      <c r="AK21" s="29"/>
    </row>
    <row r="22" spans="2:37" x14ac:dyDescent="0.15">
      <c r="B22" s="15">
        <v>80000</v>
      </c>
      <c r="C22" s="29"/>
      <c r="D22" s="29"/>
      <c r="E22" s="29"/>
      <c r="F22" s="27"/>
      <c r="G22" s="27"/>
      <c r="H22" s="29"/>
      <c r="I22" s="29"/>
      <c r="J22" s="29"/>
      <c r="K22" s="27"/>
      <c r="L22" s="27"/>
      <c r="AB22" s="15">
        <v>80000</v>
      </c>
      <c r="AC22" s="24"/>
      <c r="AD22" s="24"/>
      <c r="AG22" s="15">
        <v>80000</v>
      </c>
      <c r="AH22" s="29"/>
      <c r="AI22" s="29"/>
      <c r="AJ22" s="29"/>
      <c r="AK22" s="29"/>
    </row>
    <row r="23" spans="2:37" x14ac:dyDescent="0.15">
      <c r="B23" s="15">
        <v>85000</v>
      </c>
      <c r="C23" s="29"/>
      <c r="D23" s="29"/>
      <c r="E23" s="29"/>
      <c r="F23" s="27"/>
      <c r="G23" s="27"/>
      <c r="H23" s="29"/>
      <c r="I23" s="29"/>
      <c r="J23" s="29"/>
      <c r="K23" s="27"/>
      <c r="L23" s="27"/>
      <c r="AB23" s="15">
        <v>85000</v>
      </c>
      <c r="AC23" s="24"/>
      <c r="AD23" s="24"/>
      <c r="AG23" s="15">
        <v>85000</v>
      </c>
      <c r="AH23" s="29"/>
      <c r="AI23" s="29"/>
      <c r="AJ23" s="29"/>
      <c r="AK23" s="29"/>
    </row>
    <row r="24" spans="2:37" x14ac:dyDescent="0.15">
      <c r="B24" s="15"/>
      <c r="D24" s="15"/>
      <c r="E24" s="15"/>
      <c r="AB24" s="15"/>
      <c r="AG24" s="15"/>
      <c r="AJ24" s="19"/>
      <c r="AK24" s="19"/>
    </row>
    <row r="25" spans="2:37" x14ac:dyDescent="0.15">
      <c r="B25" s="15" t="s">
        <v>7</v>
      </c>
      <c r="C25" s="15" t="s">
        <v>35</v>
      </c>
      <c r="D25" s="15" t="s">
        <v>44</v>
      </c>
      <c r="E25" s="15" t="s">
        <v>43</v>
      </c>
      <c r="F25" s="15" t="s">
        <v>34</v>
      </c>
      <c r="G25" s="15" t="s">
        <v>10</v>
      </c>
      <c r="H25" s="14" t="s">
        <v>35</v>
      </c>
      <c r="I25" s="15" t="s">
        <v>44</v>
      </c>
      <c r="J25" s="15" t="s">
        <v>43</v>
      </c>
      <c r="K25" s="15" t="s">
        <v>34</v>
      </c>
      <c r="L25" s="15" t="s">
        <v>10</v>
      </c>
    </row>
    <row r="26" spans="2:37" x14ac:dyDescent="0.15">
      <c r="B26" s="15">
        <f>LOG(B4)</f>
        <v>3.0374264979406238</v>
      </c>
      <c r="C26" s="15">
        <f>LOG(C4)</f>
        <v>0.5385360329967358</v>
      </c>
      <c r="D26" s="15">
        <f>AH26-C26</f>
        <v>9.3739838677570075E-3</v>
      </c>
      <c r="E26" s="15">
        <f>C26-AI26</f>
        <v>9.5807875821326549E-3</v>
      </c>
      <c r="F26" s="15">
        <f>LOG(F4)</f>
        <v>-1.539102157243452</v>
      </c>
      <c r="G26" s="15" t="str">
        <f>G4</f>
        <v>Resolved</v>
      </c>
      <c r="H26" s="27"/>
      <c r="I26" s="27"/>
      <c r="J26" s="27"/>
      <c r="K26" s="27"/>
      <c r="L26" s="27"/>
      <c r="AG26" s="14">
        <f>LOG(AG4)</f>
        <v>3.0374264979406238</v>
      </c>
      <c r="AH26" s="14">
        <f>LOG(AH4)</f>
        <v>0.54791001686449281</v>
      </c>
      <c r="AI26" s="14">
        <f t="shared" ref="AI26" si="17">LOG(AI4)</f>
        <v>0.52895524541460315</v>
      </c>
      <c r="AJ26" s="29"/>
      <c r="AK26" s="29"/>
    </row>
    <row r="27" spans="2:37" x14ac:dyDescent="0.15">
      <c r="B27" s="15">
        <f t="shared" ref="B27:C44" si="18">LOG(B5)</f>
        <v>3.5371892262436444</v>
      </c>
      <c r="C27" s="29"/>
      <c r="D27" s="29"/>
      <c r="E27" s="27"/>
      <c r="F27" s="29"/>
      <c r="G27" s="27"/>
      <c r="H27" s="15">
        <f>LOG(H5)</f>
        <v>0.14866433998223624</v>
      </c>
      <c r="I27" s="15">
        <f>AJ27-H27</f>
        <v>2.2886605694509288E-2</v>
      </c>
      <c r="J27" s="15">
        <f>H27-AK27</f>
        <v>2.4160115147953964E-2</v>
      </c>
      <c r="K27" s="15">
        <f>LOG(K5)</f>
        <v>-1.7512912643990821</v>
      </c>
      <c r="L27" s="15" t="str">
        <f>L5</f>
        <v>Resolved</v>
      </c>
      <c r="AG27" s="14">
        <f t="shared" ref="AG27:AK44" si="19">LOG(AG5)</f>
        <v>3.5371892262436444</v>
      </c>
      <c r="AH27" s="29"/>
      <c r="AI27" s="29"/>
      <c r="AJ27" s="14">
        <f t="shared" si="19"/>
        <v>0.17155094567674553</v>
      </c>
      <c r="AK27" s="14">
        <f t="shared" si="19"/>
        <v>0.12450422483428228</v>
      </c>
    </row>
    <row r="28" spans="2:37" x14ac:dyDescent="0.15">
      <c r="B28" s="15">
        <f t="shared" si="18"/>
        <v>3.6989700043360187</v>
      </c>
      <c r="C28" s="15">
        <f>LOG(C6)</f>
        <v>0.41554090051285558</v>
      </c>
      <c r="D28" s="15">
        <f>AH28-C28</f>
        <v>1.3710602817837814E-2</v>
      </c>
      <c r="E28" s="15">
        <f t="shared" ref="E28:E35" si="20">C28-AI28</f>
        <v>1.4157593981275141E-2</v>
      </c>
      <c r="F28" s="15">
        <f>LOG(F6)</f>
        <v>-1.4659738939438649</v>
      </c>
      <c r="G28" s="15" t="str">
        <f>G6</f>
        <v>Resolved</v>
      </c>
      <c r="H28" s="15">
        <f t="shared" ref="H28:H38" si="21">LOG(H6)</f>
        <v>0.13890239993359355</v>
      </c>
      <c r="I28" s="15">
        <f t="shared" ref="I28:I38" si="22">AJ28-H28</f>
        <v>2.3871038901593311E-2</v>
      </c>
      <c r="J28" s="15">
        <f t="shared" ref="J28:J38" si="23">H28-AK28</f>
        <v>2.5259817161853729E-2</v>
      </c>
      <c r="K28" s="15">
        <f t="shared" ref="K28:K38" si="24">LOG(K6)</f>
        <v>-1.7731424297112766</v>
      </c>
      <c r="L28" s="15" t="str">
        <f t="shared" ref="L28:L38" si="25">L6</f>
        <v>Resolved</v>
      </c>
      <c r="AG28" s="14">
        <f t="shared" si="19"/>
        <v>3.6989700043360187</v>
      </c>
      <c r="AH28" s="14">
        <f t="shared" si="19"/>
        <v>0.4292515033306934</v>
      </c>
      <c r="AI28" s="14">
        <f t="shared" si="19"/>
        <v>0.40138330653158044</v>
      </c>
      <c r="AJ28" s="14">
        <f t="shared" si="19"/>
        <v>0.16277343883518686</v>
      </c>
      <c r="AK28" s="14">
        <f t="shared" si="19"/>
        <v>0.11364258277173982</v>
      </c>
    </row>
    <row r="29" spans="2:37" x14ac:dyDescent="0.15">
      <c r="B29" s="15">
        <f t="shared" si="18"/>
        <v>4</v>
      </c>
      <c r="C29" s="15">
        <f t="shared" si="18"/>
        <v>0.23567991856469214</v>
      </c>
      <c r="D29" s="15">
        <f t="shared" ref="D29:D33" si="26">AH29-C29</f>
        <v>2.1758648295121669E-2</v>
      </c>
      <c r="E29" s="15">
        <f t="shared" si="20"/>
        <v>2.2906545044779236E-2</v>
      </c>
      <c r="F29" s="15">
        <f t="shared" ref="F29:F35" si="27">LOG(F7)</f>
        <v>-1.4111682744057927</v>
      </c>
      <c r="G29" s="15" t="str">
        <f t="shared" ref="G29:G35" si="28">G7</f>
        <v>Resolved</v>
      </c>
      <c r="H29" s="15">
        <f t="shared" si="21"/>
        <v>0.12652102554341202</v>
      </c>
      <c r="I29" s="15">
        <f t="shared" si="22"/>
        <v>2.5400154256493085E-2</v>
      </c>
      <c r="J29" s="15">
        <f t="shared" si="23"/>
        <v>2.6978496848079403E-2</v>
      </c>
      <c r="K29" s="15">
        <f t="shared" si="24"/>
        <v>-1.752272167090277</v>
      </c>
      <c r="L29" s="15" t="str">
        <f t="shared" si="25"/>
        <v>Resolved</v>
      </c>
      <c r="AG29" s="14">
        <f t="shared" si="19"/>
        <v>4</v>
      </c>
      <c r="AH29" s="14">
        <f t="shared" si="19"/>
        <v>0.25743856685981381</v>
      </c>
      <c r="AI29" s="14">
        <f t="shared" si="19"/>
        <v>0.21277337351991291</v>
      </c>
      <c r="AJ29" s="14">
        <f t="shared" si="19"/>
        <v>0.1519211797999051</v>
      </c>
      <c r="AK29" s="14">
        <f t="shared" si="19"/>
        <v>9.9542528695332616E-2</v>
      </c>
    </row>
    <row r="30" spans="2:37" x14ac:dyDescent="0.15">
      <c r="B30" s="15">
        <f t="shared" si="18"/>
        <v>4.1760912590556813</v>
      </c>
      <c r="C30" s="15">
        <f t="shared" si="18"/>
        <v>5.7894219724530148E-2</v>
      </c>
      <c r="D30" s="15">
        <f t="shared" si="26"/>
        <v>4.1993507686936625E-2</v>
      </c>
      <c r="E30" s="15">
        <f t="shared" si="20"/>
        <v>4.6492959799786349E-2</v>
      </c>
      <c r="F30" s="15">
        <f t="shared" si="27"/>
        <v>-1.2890368810047244</v>
      </c>
      <c r="G30" s="15" t="str">
        <f t="shared" si="28"/>
        <v>Resolved</v>
      </c>
      <c r="H30" s="15">
        <f t="shared" si="21"/>
        <v>6.8408519778161647E-2</v>
      </c>
      <c r="I30" s="15">
        <f t="shared" si="22"/>
        <v>2.6795713343657046E-2</v>
      </c>
      <c r="J30" s="15">
        <f t="shared" si="23"/>
        <v>2.8558342028497129E-2</v>
      </c>
      <c r="K30" s="15">
        <f t="shared" si="24"/>
        <v>-1.7547341605425388</v>
      </c>
      <c r="L30" s="15" t="str">
        <f t="shared" si="25"/>
        <v>Resolved</v>
      </c>
      <c r="AG30" s="14">
        <f t="shared" si="19"/>
        <v>4.1760912590556813</v>
      </c>
      <c r="AH30" s="14">
        <f t="shared" si="19"/>
        <v>9.9887727411466773E-2</v>
      </c>
      <c r="AI30" s="14">
        <f t="shared" si="19"/>
        <v>1.1401259924743798E-2</v>
      </c>
      <c r="AJ30" s="14">
        <f t="shared" si="19"/>
        <v>9.5204233121818693E-2</v>
      </c>
      <c r="AK30" s="14">
        <f t="shared" si="19"/>
        <v>3.9850177749664518E-2</v>
      </c>
    </row>
    <row r="31" spans="2:37" x14ac:dyDescent="0.15">
      <c r="B31" s="15">
        <f t="shared" si="18"/>
        <v>4.3010299956639813</v>
      </c>
      <c r="C31" s="15">
        <f t="shared" si="18"/>
        <v>-0.30239582581447066</v>
      </c>
      <c r="D31" s="15">
        <f t="shared" si="26"/>
        <v>6.0573185117637263E-2</v>
      </c>
      <c r="E31" s="15">
        <f t="shared" si="20"/>
        <v>7.0412480014303391E-2</v>
      </c>
      <c r="F31" s="15">
        <f t="shared" si="27"/>
        <v>-1.1084625423274355</v>
      </c>
      <c r="G31" s="15" t="str">
        <f t="shared" si="28"/>
        <v>Unresolved</v>
      </c>
      <c r="H31" s="15">
        <f t="shared" si="21"/>
        <v>-0.14339797354279255</v>
      </c>
      <c r="I31" s="15">
        <f t="shared" si="22"/>
        <v>3.3701599592105877E-2</v>
      </c>
      <c r="J31" s="15">
        <f t="shared" si="23"/>
        <v>3.6538564447667177E-2</v>
      </c>
      <c r="K31" s="15">
        <f t="shared" si="24"/>
        <v>-1.7293211638552937</v>
      </c>
      <c r="L31" s="15" t="str">
        <f t="shared" si="25"/>
        <v>Resolved</v>
      </c>
      <c r="AG31" s="14">
        <f t="shared" si="19"/>
        <v>4.3010299956639813</v>
      </c>
      <c r="AH31" s="14">
        <f t="shared" si="19"/>
        <v>-0.2418226406968334</v>
      </c>
      <c r="AI31" s="14">
        <f t="shared" si="19"/>
        <v>-0.37280830582877406</v>
      </c>
      <c r="AJ31" s="14">
        <f t="shared" si="19"/>
        <v>-0.10969637395068667</v>
      </c>
      <c r="AK31" s="14">
        <f t="shared" si="19"/>
        <v>-0.17993653799045972</v>
      </c>
    </row>
    <row r="32" spans="2:37" x14ac:dyDescent="0.15">
      <c r="B32" s="15">
        <f t="shared" si="18"/>
        <v>4.3979400086720375</v>
      </c>
      <c r="C32" s="15">
        <f t="shared" si="18"/>
        <v>-0.1344282110516046</v>
      </c>
      <c r="D32" s="15">
        <f t="shared" si="26"/>
        <v>0.13433699963287074</v>
      </c>
      <c r="E32" s="15">
        <f t="shared" si="20"/>
        <v>0.19552085533853283</v>
      </c>
      <c r="F32" s="15">
        <f t="shared" si="27"/>
        <v>-0.97469413473522981</v>
      </c>
      <c r="G32" s="15" t="str">
        <f t="shared" si="28"/>
        <v>Resolved</v>
      </c>
      <c r="H32" s="15">
        <f t="shared" si="21"/>
        <v>-0.33899230909896855</v>
      </c>
      <c r="I32" s="15">
        <f t="shared" si="22"/>
        <v>4.1034909402662245E-2</v>
      </c>
      <c r="J32" s="15">
        <f t="shared" si="23"/>
        <v>4.5320608966200215E-2</v>
      </c>
      <c r="K32" s="15">
        <f t="shared" si="24"/>
        <v>-1.7009287399725905</v>
      </c>
      <c r="L32" s="15" t="str">
        <f t="shared" si="25"/>
        <v>Resolved</v>
      </c>
      <c r="AG32" s="14">
        <f t="shared" si="19"/>
        <v>4.3979400086720375</v>
      </c>
      <c r="AH32" s="14">
        <f t="shared" si="19"/>
        <v>-9.1211418733857773E-5</v>
      </c>
      <c r="AI32" s="14">
        <f t="shared" si="19"/>
        <v>-0.32994906639013744</v>
      </c>
      <c r="AJ32" s="14">
        <f t="shared" si="19"/>
        <v>-0.2979573996963063</v>
      </c>
      <c r="AK32" s="14">
        <f t="shared" si="19"/>
        <v>-0.38431291806516876</v>
      </c>
    </row>
    <row r="33" spans="2:37" x14ac:dyDescent="0.15">
      <c r="B33" s="15">
        <f t="shared" si="18"/>
        <v>4.4771212547196626</v>
      </c>
      <c r="C33" s="15">
        <f t="shared" si="18"/>
        <v>-0.38961668141723871</v>
      </c>
      <c r="D33" s="15">
        <f t="shared" si="26"/>
        <v>0.11857075476554091</v>
      </c>
      <c r="E33" s="15">
        <f t="shared" si="20"/>
        <v>0.16362874803811178</v>
      </c>
      <c r="F33" s="15">
        <f t="shared" si="27"/>
        <v>-0.89962945488243706</v>
      </c>
      <c r="G33" s="15" t="str">
        <f t="shared" si="28"/>
        <v>? (Unresolved)</v>
      </c>
      <c r="H33" s="15">
        <f t="shared" si="21"/>
        <v>-0.42511256896490096</v>
      </c>
      <c r="I33" s="15">
        <f t="shared" si="22"/>
        <v>5.2416964442560221E-2</v>
      </c>
      <c r="J33" s="15">
        <f t="shared" si="23"/>
        <v>5.9623086345494181E-2</v>
      </c>
      <c r="K33" s="15">
        <f t="shared" si="24"/>
        <v>-1.6855007720268484</v>
      </c>
      <c r="L33" s="15" t="str">
        <f t="shared" si="25"/>
        <v>Resolved</v>
      </c>
      <c r="AG33" s="14">
        <f t="shared" si="19"/>
        <v>4.4771212547196626</v>
      </c>
      <c r="AH33" s="14">
        <f t="shared" si="19"/>
        <v>-0.2710459266516978</v>
      </c>
      <c r="AI33" s="14">
        <f t="shared" si="19"/>
        <v>-0.55324542945535049</v>
      </c>
      <c r="AJ33" s="14">
        <f t="shared" si="19"/>
        <v>-0.37269560452234074</v>
      </c>
      <c r="AK33" s="14">
        <f t="shared" si="19"/>
        <v>-0.48473565531039514</v>
      </c>
    </row>
    <row r="34" spans="2:37" x14ac:dyDescent="0.15">
      <c r="B34" s="15">
        <f t="shared" si="18"/>
        <v>4.5440680443502757</v>
      </c>
      <c r="C34" s="27"/>
      <c r="D34" s="27"/>
      <c r="E34" s="27"/>
      <c r="F34" s="27"/>
      <c r="G34" s="27"/>
      <c r="H34" s="15">
        <f t="shared" si="21"/>
        <v>-0.50192389062783427</v>
      </c>
      <c r="I34" s="15">
        <f t="shared" si="22"/>
        <v>6.1267841659985167E-2</v>
      </c>
      <c r="J34" s="15">
        <f t="shared" si="23"/>
        <v>7.1353445226386647E-2</v>
      </c>
      <c r="K34" s="15">
        <f t="shared" si="24"/>
        <v>-1.6838199011065473</v>
      </c>
      <c r="L34" s="15" t="str">
        <f t="shared" si="25"/>
        <v>Resolved</v>
      </c>
      <c r="AG34" s="14">
        <f t="shared" si="19"/>
        <v>4.5440680443502757</v>
      </c>
      <c r="AH34" s="29"/>
      <c r="AI34" s="29"/>
      <c r="AJ34" s="14">
        <f t="shared" si="19"/>
        <v>-0.4406560489678491</v>
      </c>
      <c r="AK34" s="14">
        <f t="shared" si="19"/>
        <v>-0.57327733585422092</v>
      </c>
    </row>
    <row r="35" spans="2:37" x14ac:dyDescent="0.15">
      <c r="B35" s="15">
        <f t="shared" si="18"/>
        <v>4.6020599913279625</v>
      </c>
      <c r="C35" s="15">
        <f t="shared" si="18"/>
        <v>-0.23957751657678791</v>
      </c>
      <c r="D35" s="15">
        <f>AH35-C35</f>
        <v>0</v>
      </c>
      <c r="E35" s="15">
        <f t="shared" si="20"/>
        <v>0</v>
      </c>
      <c r="F35" s="15">
        <f t="shared" si="27"/>
        <v>-0.71669877129645043</v>
      </c>
      <c r="G35" s="15" t="str">
        <f t="shared" si="28"/>
        <v>Non-detection</v>
      </c>
      <c r="H35" s="15">
        <f t="shared" si="21"/>
        <v>-0.75703640817851692</v>
      </c>
      <c r="I35" s="15">
        <f t="shared" si="22"/>
        <v>0.11243045280168773</v>
      </c>
      <c r="J35" s="15">
        <f t="shared" si="23"/>
        <v>0.15210619583994933</v>
      </c>
      <c r="K35" s="15">
        <f t="shared" si="24"/>
        <v>-1.6511112769285621</v>
      </c>
      <c r="L35" s="15" t="str">
        <f t="shared" si="25"/>
        <v>Resolved</v>
      </c>
      <c r="M35" s="15"/>
      <c r="AG35" s="14">
        <f t="shared" si="19"/>
        <v>4.6020599913279625</v>
      </c>
      <c r="AH35" s="14">
        <f t="shared" si="19"/>
        <v>-0.23957751657678791</v>
      </c>
      <c r="AI35" s="14">
        <f t="shared" si="19"/>
        <v>-0.23957751657678791</v>
      </c>
      <c r="AJ35" s="14">
        <f t="shared" si="19"/>
        <v>-0.64460595537682919</v>
      </c>
      <c r="AK35" s="14">
        <f t="shared" si="19"/>
        <v>-0.90914260401846625</v>
      </c>
    </row>
    <row r="36" spans="2:37" x14ac:dyDescent="0.15">
      <c r="B36" s="15">
        <f>LOG(B14)</f>
        <v>4.6334684555795862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AG36" s="14">
        <f t="shared" si="19"/>
        <v>4.6334684555795862</v>
      </c>
      <c r="AH36" s="29"/>
      <c r="AI36" s="29"/>
      <c r="AJ36" s="29"/>
      <c r="AK36" s="29"/>
    </row>
    <row r="37" spans="2:37" x14ac:dyDescent="0.15">
      <c r="B37" s="15">
        <f t="shared" si="18"/>
        <v>4.653212513775344</v>
      </c>
      <c r="C37" s="27"/>
      <c r="D37" s="27"/>
      <c r="E37" s="27"/>
      <c r="F37" s="27"/>
      <c r="G37" s="27"/>
      <c r="H37" s="15">
        <f t="shared" si="21"/>
        <v>-1.1490476002065073</v>
      </c>
      <c r="I37" s="15">
        <f t="shared" si="22"/>
        <v>0</v>
      </c>
      <c r="J37" s="15">
        <f t="shared" si="23"/>
        <v>0</v>
      </c>
      <c r="K37" s="15">
        <f t="shared" si="24"/>
        <v>-1.6261688549261697</v>
      </c>
      <c r="L37" s="15" t="str">
        <f t="shared" si="25"/>
        <v>Non-detection</v>
      </c>
      <c r="AG37" s="14">
        <f>LOG(AG15)</f>
        <v>4.653212513775344</v>
      </c>
      <c r="AH37" s="29"/>
      <c r="AI37" s="29"/>
      <c r="AJ37" s="14">
        <f t="shared" ref="AJ37:AK37" si="29">LOG(AJ15)</f>
        <v>-1.1490476002065073</v>
      </c>
      <c r="AK37" s="14">
        <f t="shared" si="29"/>
        <v>-1.1490476002065073</v>
      </c>
    </row>
    <row r="38" spans="2:37" x14ac:dyDescent="0.15">
      <c r="B38" s="15">
        <f>LOG(B16)</f>
        <v>4.6989700043360187</v>
      </c>
      <c r="C38" s="27"/>
      <c r="D38" s="27"/>
      <c r="E38" s="27"/>
      <c r="F38" s="27"/>
      <c r="G38" s="27"/>
      <c r="H38" s="30">
        <f t="shared" si="21"/>
        <v>-1.1115958322629533</v>
      </c>
      <c r="I38" s="30">
        <f t="shared" si="22"/>
        <v>0</v>
      </c>
      <c r="J38" s="30">
        <f t="shared" si="23"/>
        <v>0</v>
      </c>
      <c r="K38" s="30">
        <f t="shared" si="24"/>
        <v>-1.5887170869826157</v>
      </c>
      <c r="L38" s="30" t="str">
        <f t="shared" si="25"/>
        <v>Non-detection</v>
      </c>
      <c r="AG38" s="14">
        <f t="shared" si="19"/>
        <v>4.6989700043360187</v>
      </c>
      <c r="AH38" s="29"/>
      <c r="AI38" s="29"/>
      <c r="AJ38" s="14">
        <f t="shared" si="19"/>
        <v>-1.1115958322629533</v>
      </c>
      <c r="AK38" s="14">
        <f t="shared" si="19"/>
        <v>-1.1115958322629533</v>
      </c>
    </row>
    <row r="39" spans="2:37" x14ac:dyDescent="0.15">
      <c r="B39" s="15">
        <f t="shared" si="18"/>
        <v>4.7403626894942441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AG39" s="14">
        <f t="shared" si="19"/>
        <v>4.7403626894942441</v>
      </c>
      <c r="AH39" s="29"/>
      <c r="AI39" s="29"/>
      <c r="AJ39" s="29"/>
      <c r="AK39" s="29"/>
    </row>
    <row r="40" spans="2:37" x14ac:dyDescent="0.15">
      <c r="B40" s="15">
        <f t="shared" si="18"/>
        <v>4.7781512503836439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AG40" s="14">
        <f t="shared" si="19"/>
        <v>4.7781512503836439</v>
      </c>
      <c r="AH40" s="29"/>
      <c r="AI40" s="29"/>
      <c r="AJ40" s="29"/>
      <c r="AK40" s="29"/>
    </row>
    <row r="41" spans="2:37" x14ac:dyDescent="0.15">
      <c r="B41" s="15">
        <f t="shared" si="18"/>
        <v>4.8129133566428557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AG41" s="14">
        <f t="shared" si="19"/>
        <v>4.8129133566428557</v>
      </c>
      <c r="AH41" s="29"/>
      <c r="AI41" s="29"/>
      <c r="AJ41" s="29"/>
      <c r="AK41" s="29"/>
    </row>
    <row r="42" spans="2:37" x14ac:dyDescent="0.15">
      <c r="B42" s="15">
        <f t="shared" si="18"/>
        <v>4.8450980400142569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AG42" s="14">
        <f t="shared" si="19"/>
        <v>4.8450980400142569</v>
      </c>
      <c r="AH42" s="29"/>
      <c r="AI42" s="29"/>
      <c r="AJ42" s="29"/>
      <c r="AK42" s="29"/>
    </row>
    <row r="43" spans="2:37" x14ac:dyDescent="0.15">
      <c r="B43" s="15">
        <f t="shared" si="18"/>
        <v>4.8750612633917001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AG43" s="14">
        <f t="shared" si="19"/>
        <v>4.8750612633917001</v>
      </c>
      <c r="AH43" s="29"/>
      <c r="AI43" s="29"/>
      <c r="AJ43" s="29"/>
      <c r="AK43" s="29"/>
    </row>
    <row r="44" spans="2:37" x14ac:dyDescent="0.15">
      <c r="B44" s="15">
        <f t="shared" si="18"/>
        <v>4.9030899869919438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AG44" s="14">
        <f t="shared" si="19"/>
        <v>4.9030899869919438</v>
      </c>
      <c r="AH44" s="29"/>
      <c r="AI44" s="29"/>
      <c r="AJ44" s="29"/>
      <c r="AK44" s="29"/>
    </row>
    <row r="45" spans="2:37" x14ac:dyDescent="0.15">
      <c r="B45" s="15">
        <f>LOG(B23)</f>
        <v>4.9294189257142929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AG45" s="14">
        <f>LOG(AG23)</f>
        <v>4.9294189257142929</v>
      </c>
      <c r="AH45" s="29"/>
      <c r="AI45" s="29"/>
      <c r="AJ45" s="29"/>
      <c r="AK45" s="29"/>
    </row>
    <row r="46" spans="2:37" x14ac:dyDescent="0.15">
      <c r="B46" s="15"/>
      <c r="H46" s="15"/>
      <c r="I46" s="15"/>
      <c r="J46" s="15"/>
      <c r="K46" s="15"/>
      <c r="L46" s="15"/>
      <c r="AE46" s="15"/>
    </row>
    <row r="47" spans="2:37" x14ac:dyDescent="0.15">
      <c r="B47" s="15"/>
      <c r="G47" s="15"/>
      <c r="P47" s="14">
        <f>P51/1000</f>
        <v>1.8211999999999989E-3</v>
      </c>
      <c r="R47" s="14">
        <f t="shared" ref="R47" si="30">R51/1000</f>
        <v>-3.5516000000000076E-3</v>
      </c>
      <c r="AD47" s="15"/>
    </row>
    <row r="48" spans="2:37" x14ac:dyDescent="0.15">
      <c r="B48" s="15"/>
      <c r="P48" s="14">
        <v>1.821199999999999</v>
      </c>
      <c r="Q48" s="14">
        <v>-3.5516000000000076</v>
      </c>
      <c r="AD48" s="15"/>
    </row>
    <row r="49" spans="1:36" ht="14" x14ac:dyDescent="0.15">
      <c r="B49" s="14" t="s">
        <v>38</v>
      </c>
      <c r="C49" s="15" t="s">
        <v>3</v>
      </c>
      <c r="D49" s="15"/>
      <c r="E49" s="15" t="s">
        <v>0</v>
      </c>
      <c r="F49" s="15"/>
      <c r="G49" s="15"/>
      <c r="H49" s="36">
        <f>H51/0.00003</f>
        <v>115.19</v>
      </c>
      <c r="L49" s="8"/>
      <c r="M49" s="8">
        <v>1014.894</v>
      </c>
      <c r="N49" s="8">
        <v>1006.242</v>
      </c>
      <c r="P49" s="16"/>
      <c r="Q49" s="38" t="s">
        <v>8</v>
      </c>
      <c r="R49" s="38"/>
      <c r="S49" s="38"/>
      <c r="T49" s="38"/>
      <c r="U49" s="38"/>
      <c r="V49" s="38"/>
      <c r="W49" s="38"/>
      <c r="X49" s="38"/>
      <c r="Y49" s="38"/>
      <c r="Z49" s="38" t="s">
        <v>9</v>
      </c>
      <c r="AA49" s="38"/>
      <c r="AB49" s="38"/>
      <c r="AC49" s="38"/>
    </row>
    <row r="50" spans="1:36" x14ac:dyDescent="0.15">
      <c r="C50" s="15" t="s">
        <v>35</v>
      </c>
      <c r="D50" s="15" t="s">
        <v>6</v>
      </c>
      <c r="E50" s="15" t="s">
        <v>10</v>
      </c>
      <c r="F50" s="15" t="s">
        <v>11</v>
      </c>
      <c r="G50" s="15" t="s">
        <v>6</v>
      </c>
      <c r="H50" s="15" t="s">
        <v>12</v>
      </c>
      <c r="I50" s="15" t="s">
        <v>6</v>
      </c>
      <c r="J50" s="15" t="s">
        <v>32</v>
      </c>
      <c r="K50" s="15" t="s">
        <v>33</v>
      </c>
      <c r="L50" s="15" t="s">
        <v>13</v>
      </c>
      <c r="M50" s="15" t="s">
        <v>14</v>
      </c>
      <c r="N50" s="15" t="s">
        <v>15</v>
      </c>
      <c r="O50" s="15" t="s">
        <v>14</v>
      </c>
      <c r="P50" s="1" t="s">
        <v>62</v>
      </c>
      <c r="Q50" s="1" t="s">
        <v>63</v>
      </c>
      <c r="R50" s="1" t="s">
        <v>64</v>
      </c>
      <c r="S50" s="1" t="s">
        <v>63</v>
      </c>
      <c r="T50" s="15" t="s">
        <v>31</v>
      </c>
      <c r="U50" s="15" t="s">
        <v>16</v>
      </c>
      <c r="V50" s="15" t="s">
        <v>17</v>
      </c>
      <c r="W50" s="15" t="s">
        <v>18</v>
      </c>
      <c r="X50" s="15" t="s">
        <v>19</v>
      </c>
      <c r="Y50" s="15" t="s">
        <v>20</v>
      </c>
      <c r="Z50" s="15" t="s">
        <v>21</v>
      </c>
      <c r="AA50" s="15" t="s">
        <v>22</v>
      </c>
      <c r="AB50" s="15" t="s">
        <v>23</v>
      </c>
      <c r="AC50" s="15" t="s">
        <v>24</v>
      </c>
      <c r="AD50" s="15" t="s">
        <v>25</v>
      </c>
      <c r="AE50" s="15" t="s">
        <v>26</v>
      </c>
      <c r="AF50" s="15" t="s">
        <v>27</v>
      </c>
      <c r="AG50" s="15" t="s">
        <v>28</v>
      </c>
    </row>
    <row r="51" spans="1:36" ht="14" x14ac:dyDescent="0.15">
      <c r="A51" s="17">
        <v>3445</v>
      </c>
      <c r="B51" s="18">
        <v>1090</v>
      </c>
      <c r="C51" s="19">
        <f>H51</f>
        <v>3.4556999999999999E-3</v>
      </c>
      <c r="D51" s="19">
        <f>I51</f>
        <v>7.5400000000000003E-5</v>
      </c>
      <c r="E51" s="1" t="s">
        <v>29</v>
      </c>
      <c r="F51" s="9">
        <v>1.9061E-3</v>
      </c>
      <c r="G51" s="9">
        <v>2.87E-5</v>
      </c>
      <c r="H51" s="9">
        <v>3.4556999999999999E-3</v>
      </c>
      <c r="I51" s="9">
        <v>7.5400000000000003E-5</v>
      </c>
      <c r="J51" s="8">
        <v>66.47</v>
      </c>
      <c r="K51" s="19">
        <f t="shared" ref="K51:K59" si="31">3*AE51</f>
        <v>8.6700000000000007E-5</v>
      </c>
      <c r="L51" s="8">
        <v>1014.894</v>
      </c>
      <c r="M51" s="8">
        <v>5.2200000000000003E-2</v>
      </c>
      <c r="N51" s="8">
        <v>1006.242</v>
      </c>
      <c r="O51" s="8">
        <v>0.11749999999999999</v>
      </c>
      <c r="P51" s="14">
        <f>(L51-1024)*(-0.2)</f>
        <v>1.821199999999999</v>
      </c>
      <c r="Q51" s="14">
        <f>M51*0.2</f>
        <v>1.0440000000000001E-2</v>
      </c>
      <c r="R51" s="14">
        <f>(N51-1024)*(0.2)</f>
        <v>-3.5516000000000076</v>
      </c>
      <c r="S51" s="14">
        <f>O51*0.2</f>
        <v>2.35E-2</v>
      </c>
      <c r="T51" s="8">
        <v>82.508399999999995</v>
      </c>
      <c r="U51" s="8">
        <v>8.5559999999999994E-3</v>
      </c>
      <c r="V51" s="8">
        <v>8.0700000000000008E-3</v>
      </c>
      <c r="W51" s="8">
        <v>9.0279999999999996E-3</v>
      </c>
      <c r="X51" s="8">
        <v>1.934E-3</v>
      </c>
      <c r="Y51" s="6">
        <v>0</v>
      </c>
      <c r="Z51" s="8">
        <v>2.7959999999999999E-3</v>
      </c>
      <c r="AA51" s="8">
        <v>27.028438999999999</v>
      </c>
      <c r="AB51" s="8">
        <v>22.954229000000002</v>
      </c>
      <c r="AC51" s="6">
        <v>30.957477999999998</v>
      </c>
      <c r="AD51" s="9">
        <v>-5.2999999999999998E-8</v>
      </c>
      <c r="AE51" s="9">
        <v>2.8900000000000001E-5</v>
      </c>
      <c r="AF51" s="9">
        <v>9.9400000000000004E-5</v>
      </c>
      <c r="AG51" s="9">
        <v>-8.8900000000000006E-5</v>
      </c>
      <c r="AH51" s="19"/>
    </row>
    <row r="52" spans="1:36" ht="14" x14ac:dyDescent="0.15">
      <c r="B52" s="15">
        <v>5000</v>
      </c>
      <c r="C52" s="19">
        <f t="shared" ref="C52:C54" si="32">H52</f>
        <v>2.6034000000000001E-3</v>
      </c>
      <c r="D52" s="19">
        <f t="shared" ref="D52:D54" si="33">I52</f>
        <v>8.3499999999999997E-5</v>
      </c>
      <c r="E52" s="1" t="s">
        <v>29</v>
      </c>
      <c r="F52" s="9">
        <v>1.5918E-3</v>
      </c>
      <c r="G52" s="9">
        <v>3.4199999999999998E-5</v>
      </c>
      <c r="H52" s="9">
        <v>2.6034000000000001E-3</v>
      </c>
      <c r="I52" s="9">
        <v>8.3499999999999997E-5</v>
      </c>
      <c r="J52" s="8">
        <v>46.5</v>
      </c>
      <c r="K52" s="19">
        <f t="shared" si="31"/>
        <v>1.026E-4</v>
      </c>
      <c r="L52" s="8">
        <v>1014.7190000000001</v>
      </c>
      <c r="M52" s="8">
        <v>5.9400000000000001E-2</v>
      </c>
      <c r="N52" s="8">
        <v>1006.908</v>
      </c>
      <c r="O52" s="8">
        <v>0.1431</v>
      </c>
      <c r="P52" s="14">
        <f t="shared" ref="P52:P59" si="34">(L52-1024)*(-0.2)</f>
        <v>1.8561999999999899</v>
      </c>
      <c r="Q52" s="14">
        <f t="shared" ref="Q52:S59" si="35">M52*0.2</f>
        <v>1.1880000000000002E-2</v>
      </c>
      <c r="R52" s="14">
        <f t="shared" ref="R52:R59" si="36">(N52-1024)*(0.2)</f>
        <v>-3.418399999999997</v>
      </c>
      <c r="S52" s="14">
        <f t="shared" si="35"/>
        <v>2.8620000000000003E-2</v>
      </c>
      <c r="T52" s="8">
        <v>61.399799999999999</v>
      </c>
      <c r="U52" s="8">
        <v>7.0600000000000003E-3</v>
      </c>
      <c r="V52" s="8">
        <v>6.4720000000000003E-3</v>
      </c>
      <c r="W52" s="6">
        <v>7.6290000000000004E-3</v>
      </c>
      <c r="X52" s="8">
        <v>0</v>
      </c>
      <c r="Y52" s="6">
        <v>0</v>
      </c>
      <c r="Z52" s="6">
        <v>0</v>
      </c>
      <c r="AA52" s="8">
        <v>33.054119</v>
      </c>
      <c r="AB52" s="8">
        <v>28.040741000000001</v>
      </c>
      <c r="AC52" s="6">
        <v>38.048290000000001</v>
      </c>
      <c r="AD52" s="9">
        <v>-1.6800000000000002E-8</v>
      </c>
      <c r="AE52" s="9">
        <v>3.4199999999999998E-5</v>
      </c>
      <c r="AF52" s="9">
        <v>1.26E-4</v>
      </c>
      <c r="AG52" s="9">
        <v>-1.1400000000000001E-4</v>
      </c>
      <c r="AH52" s="19"/>
    </row>
    <row r="53" spans="1:36" ht="14" x14ac:dyDescent="0.15">
      <c r="B53" s="15">
        <v>10000</v>
      </c>
      <c r="C53" s="19">
        <f t="shared" si="32"/>
        <v>1.7206000000000001E-3</v>
      </c>
      <c r="D53" s="19">
        <f t="shared" si="33"/>
        <v>8.8399999999999994E-5</v>
      </c>
      <c r="E53" s="1" t="s">
        <v>29</v>
      </c>
      <c r="F53" s="9">
        <v>1.2304E-3</v>
      </c>
      <c r="G53" s="9">
        <v>4.05</v>
      </c>
      <c r="H53" s="9">
        <v>1.7206000000000001E-3</v>
      </c>
      <c r="I53" s="9">
        <v>8.8399999999999994E-5</v>
      </c>
      <c r="J53" s="8">
        <v>30.35</v>
      </c>
      <c r="K53" s="19">
        <f t="shared" si="31"/>
        <v>1.1640000000000001E-4</v>
      </c>
      <c r="L53" s="8">
        <v>1014.46</v>
      </c>
      <c r="M53" s="8">
        <v>7.3300000000000004E-2</v>
      </c>
      <c r="N53" s="8">
        <v>1008.0839999999999</v>
      </c>
      <c r="O53" s="8">
        <v>0.21060000000000001</v>
      </c>
      <c r="P53" s="14">
        <f t="shared" si="34"/>
        <v>1.9079999999999928</v>
      </c>
      <c r="Q53" s="14">
        <f t="shared" si="35"/>
        <v>1.4660000000000001E-2</v>
      </c>
      <c r="R53" s="14">
        <f t="shared" si="36"/>
        <v>-3.1832000000000109</v>
      </c>
      <c r="S53" s="14">
        <f t="shared" si="35"/>
        <v>4.2120000000000005E-2</v>
      </c>
      <c r="T53" s="6">
        <v>54.778799999999997</v>
      </c>
      <c r="U53" s="8">
        <v>6.1980000000000004E-3</v>
      </c>
      <c r="V53" s="6">
        <v>5.3579999999999999E-3</v>
      </c>
      <c r="W53" s="8">
        <v>7.0210000000000003E-3</v>
      </c>
      <c r="X53" s="6">
        <v>0</v>
      </c>
      <c r="Y53" s="6">
        <v>0</v>
      </c>
      <c r="Z53" s="8">
        <v>0</v>
      </c>
      <c r="AA53" s="8">
        <v>39.583548999999998</v>
      </c>
      <c r="AB53" s="8" t="s">
        <v>84</v>
      </c>
      <c r="AC53" s="8" t="s">
        <v>85</v>
      </c>
      <c r="AD53" s="9">
        <v>3.1200000000000001E-8</v>
      </c>
      <c r="AE53" s="9">
        <v>3.8800000000000001E-5</v>
      </c>
      <c r="AF53" s="9">
        <v>1.4799999999999999E-4</v>
      </c>
      <c r="AG53" s="9">
        <v>-1.5300000000000001E-4</v>
      </c>
      <c r="AH53" s="19"/>
    </row>
    <row r="54" spans="1:36" ht="14" x14ac:dyDescent="0.15">
      <c r="B54" s="15">
        <v>15000</v>
      </c>
      <c r="C54" s="19">
        <f t="shared" si="32"/>
        <v>1.1425999999999999E-3</v>
      </c>
      <c r="D54" s="19">
        <f t="shared" si="33"/>
        <v>1.16E-4</v>
      </c>
      <c r="E54" s="1" t="s">
        <v>29</v>
      </c>
      <c r="F54" s="9">
        <v>7.9564000000000002E-4</v>
      </c>
      <c r="G54" s="9">
        <v>5.2099999999999999E-5</v>
      </c>
      <c r="H54" s="9">
        <v>1.1425999999999999E-3</v>
      </c>
      <c r="I54" s="9">
        <v>1.16E-4</v>
      </c>
      <c r="J54" s="8">
        <v>15.27</v>
      </c>
      <c r="K54" s="19">
        <f t="shared" si="31"/>
        <v>1.5420000000000001E-4</v>
      </c>
      <c r="L54" s="8">
        <v>1014.122</v>
      </c>
      <c r="M54" s="8">
        <v>0.1203</v>
      </c>
      <c r="N54" s="8">
        <v>1011.1319999999999</v>
      </c>
      <c r="O54" s="8">
        <v>0.4511</v>
      </c>
      <c r="P54" s="14">
        <f t="shared" si="34"/>
        <v>1.9756000000000087</v>
      </c>
      <c r="Q54" s="14">
        <f t="shared" si="35"/>
        <v>2.4060000000000002E-2</v>
      </c>
      <c r="R54" s="14">
        <f t="shared" si="36"/>
        <v>-2.5736000000000105</v>
      </c>
      <c r="S54" s="14">
        <f t="shared" si="35"/>
        <v>9.0220000000000009E-2</v>
      </c>
      <c r="T54" s="6">
        <v>43.129800000000003</v>
      </c>
      <c r="U54" s="8">
        <v>8.2900000000000005E-3</v>
      </c>
      <c r="V54" s="6">
        <v>6.6909999999999999E-3</v>
      </c>
      <c r="W54" s="8">
        <v>9.7870000000000006E-3</v>
      </c>
      <c r="X54" s="6">
        <v>0</v>
      </c>
      <c r="Y54" s="6">
        <v>0</v>
      </c>
      <c r="Z54" s="8">
        <v>0</v>
      </c>
      <c r="AA54" s="8">
        <v>26.642305</v>
      </c>
      <c r="AB54" s="8">
        <v>17.739571000000002</v>
      </c>
      <c r="AC54" s="8">
        <v>33.737639999999999</v>
      </c>
      <c r="AD54" s="9">
        <v>1.6299999999999999E-7</v>
      </c>
      <c r="AE54" s="9">
        <v>5.1400000000000003E-5</v>
      </c>
      <c r="AF54" s="9">
        <v>1.94E-4</v>
      </c>
      <c r="AG54" s="9">
        <v>-2.0000000000000001E-4</v>
      </c>
      <c r="AH54" s="19"/>
    </row>
    <row r="55" spans="1:36" ht="14" x14ac:dyDescent="0.15">
      <c r="B55" s="15">
        <v>20000</v>
      </c>
      <c r="C55" s="19">
        <f>F55</f>
        <v>4.9843000000000001E-4</v>
      </c>
      <c r="D55" s="19">
        <f>G55</f>
        <v>7.4599999999999997E-5</v>
      </c>
      <c r="E55" s="1" t="s">
        <v>30</v>
      </c>
      <c r="F55" s="9">
        <v>4.9843000000000001E-4</v>
      </c>
      <c r="G55" s="9">
        <v>7.4599999999999997E-5</v>
      </c>
      <c r="H55" s="9">
        <v>3.3911999999999999E-4</v>
      </c>
      <c r="I55" s="9">
        <v>1.01E-4</v>
      </c>
      <c r="J55" s="8">
        <v>6.68</v>
      </c>
      <c r="K55" s="19">
        <f t="shared" si="31"/>
        <v>2.3369999999999999E-4</v>
      </c>
      <c r="L55" s="8">
        <v>1014.224</v>
      </c>
      <c r="M55" s="8">
        <v>0.18290000000000001</v>
      </c>
      <c r="N55" s="8">
        <v>1009.287</v>
      </c>
      <c r="O55" s="8">
        <v>0.4909</v>
      </c>
      <c r="P55" s="14">
        <f t="shared" si="34"/>
        <v>1.9551999999999907</v>
      </c>
      <c r="Q55" s="14">
        <f t="shared" si="35"/>
        <v>3.6580000000000001E-2</v>
      </c>
      <c r="R55" s="14">
        <f t="shared" si="36"/>
        <v>-2.9425999999999934</v>
      </c>
      <c r="S55" s="14">
        <f t="shared" si="35"/>
        <v>9.8180000000000003E-2</v>
      </c>
      <c r="T55" s="6">
        <v>32.712000000000003</v>
      </c>
      <c r="U55" s="8">
        <v>1.572E-3</v>
      </c>
      <c r="V55" s="6">
        <v>0</v>
      </c>
      <c r="W55" s="8" t="s">
        <v>86</v>
      </c>
      <c r="X55" s="8">
        <v>0</v>
      </c>
      <c r="Y55" s="6">
        <v>0</v>
      </c>
      <c r="Z55" s="6">
        <v>0</v>
      </c>
      <c r="AA55" s="8">
        <v>159.72288499999999</v>
      </c>
      <c r="AB55" s="8">
        <v>139.445312</v>
      </c>
      <c r="AC55" s="6">
        <v>170.928406</v>
      </c>
      <c r="AD55" s="9">
        <v>4.7200000000000002E-9</v>
      </c>
      <c r="AE55" s="9">
        <v>7.7899999999999996E-5</v>
      </c>
      <c r="AF55" s="9">
        <v>3.3300000000000002E-4</v>
      </c>
      <c r="AG55" s="9">
        <v>-2.7700000000000001E-4</v>
      </c>
      <c r="AH55" s="19"/>
    </row>
    <row r="56" spans="1:36" ht="14" x14ac:dyDescent="0.15">
      <c r="B56" s="15">
        <v>25000</v>
      </c>
      <c r="C56" s="19">
        <f>H56</f>
        <v>7.3379000000000001E-4</v>
      </c>
      <c r="D56" s="19">
        <f t="shared" ref="D56" si="37">I56</f>
        <v>2.6600000000000001E-4</v>
      </c>
      <c r="E56" s="1" t="s">
        <v>29</v>
      </c>
      <c r="F56" s="9">
        <v>3.7818999999999998E-4</v>
      </c>
      <c r="G56" s="9">
        <v>9.6299999999999996E-5</v>
      </c>
      <c r="H56" s="9">
        <v>7.3379000000000001E-4</v>
      </c>
      <c r="I56" s="9">
        <v>2.6600000000000001E-4</v>
      </c>
      <c r="J56" s="8">
        <v>3.93</v>
      </c>
      <c r="K56" s="19">
        <f t="shared" si="31"/>
        <v>3.1800000000000003E-4</v>
      </c>
      <c r="L56" s="8">
        <v>1011.812</v>
      </c>
      <c r="M56" s="8">
        <v>1.2119</v>
      </c>
      <c r="N56" s="8">
        <v>1005.145</v>
      </c>
      <c r="O56" s="8">
        <v>2.6671999999999998</v>
      </c>
      <c r="P56" s="14">
        <f t="shared" si="34"/>
        <v>2.437599999999998</v>
      </c>
      <c r="Q56" s="14">
        <f t="shared" si="35"/>
        <v>0.24238000000000001</v>
      </c>
      <c r="R56" s="14">
        <f t="shared" si="36"/>
        <v>-3.7710000000000039</v>
      </c>
      <c r="S56" s="14">
        <f t="shared" si="35"/>
        <v>0.53344000000000003</v>
      </c>
      <c r="T56" s="6">
        <v>30.576000000000001</v>
      </c>
      <c r="U56" s="8">
        <v>1.805E-2</v>
      </c>
      <c r="V56" s="8">
        <v>9.9450000000000007E-3</v>
      </c>
      <c r="W56" s="8">
        <v>2.5363E-2</v>
      </c>
      <c r="X56" s="6">
        <v>0</v>
      </c>
      <c r="Y56" s="6">
        <v>0</v>
      </c>
      <c r="Z56" s="8">
        <v>0</v>
      </c>
      <c r="AA56" s="8">
        <v>153.30445900000001</v>
      </c>
      <c r="AB56" s="8">
        <v>149.559631</v>
      </c>
      <c r="AC56" s="8">
        <v>162.549072</v>
      </c>
      <c r="AD56" s="9">
        <v>2.0100000000000001E-8</v>
      </c>
      <c r="AE56" s="9">
        <v>1.06E-4</v>
      </c>
      <c r="AF56" s="9">
        <v>4.1800000000000002E-4</v>
      </c>
      <c r="AG56" s="9">
        <v>-4.28E-4</v>
      </c>
      <c r="AH56" s="19"/>
    </row>
    <row r="57" spans="1:36" ht="14" x14ac:dyDescent="0.15">
      <c r="B57" s="15">
        <v>30000</v>
      </c>
      <c r="C57" s="19">
        <f>F57</f>
        <v>4.0774000000000002E-4</v>
      </c>
      <c r="D57" s="19">
        <f>G57</f>
        <v>1.2799999999999999E-4</v>
      </c>
      <c r="E57" s="1" t="s">
        <v>81</v>
      </c>
      <c r="F57" s="9">
        <v>4.0774000000000002E-4</v>
      </c>
      <c r="G57" s="9">
        <v>1.2799999999999999E-4</v>
      </c>
      <c r="H57" s="9">
        <v>5.4850000000000005E-4</v>
      </c>
      <c r="I57" s="9">
        <v>2.72E-4</v>
      </c>
      <c r="J57" s="8">
        <v>3.17</v>
      </c>
      <c r="K57" s="19">
        <f t="shared" si="31"/>
        <v>3.7799999999999997E-4</v>
      </c>
      <c r="L57" s="8">
        <v>993.35900000000004</v>
      </c>
      <c r="M57" s="8">
        <v>0.97909999999999997</v>
      </c>
      <c r="N57" s="8">
        <v>1023.777</v>
      </c>
      <c r="O57" s="8">
        <v>2.4277000000000002</v>
      </c>
      <c r="P57" s="14">
        <f t="shared" si="34"/>
        <v>6.1281999999999925</v>
      </c>
      <c r="Q57" s="14">
        <f t="shared" si="35"/>
        <v>0.19581999999999999</v>
      </c>
      <c r="R57" s="14">
        <f t="shared" si="36"/>
        <v>-4.4599999999991272E-2</v>
      </c>
      <c r="S57" s="14">
        <f t="shared" si="35"/>
        <v>0.48554000000000008</v>
      </c>
      <c r="T57" s="6">
        <v>26.128900000000002</v>
      </c>
      <c r="U57" s="8">
        <v>1.1952000000000001E-2</v>
      </c>
      <c r="V57" s="8">
        <v>2.6689999999999999E-3</v>
      </c>
      <c r="W57" s="8">
        <v>1.8834E-2</v>
      </c>
      <c r="X57" s="6">
        <v>0</v>
      </c>
      <c r="Y57" s="6">
        <v>0</v>
      </c>
      <c r="Z57" s="8">
        <v>0</v>
      </c>
      <c r="AA57" s="8">
        <v>154.26504499999999</v>
      </c>
      <c r="AB57" s="8">
        <v>148.04420500000001</v>
      </c>
      <c r="AC57" s="8">
        <v>11.517227</v>
      </c>
      <c r="AD57" s="9">
        <v>-2.6700000000000001E-8</v>
      </c>
      <c r="AE57" s="9">
        <v>1.26E-4</v>
      </c>
      <c r="AF57" s="9">
        <v>4.6299999999999998E-4</v>
      </c>
      <c r="AG57" s="9">
        <v>-4.5899999999999999E-4</v>
      </c>
      <c r="AH57" s="19"/>
    </row>
    <row r="58" spans="1:36" ht="14" x14ac:dyDescent="0.15">
      <c r="B58" s="15">
        <v>35000</v>
      </c>
      <c r="C58" s="19"/>
      <c r="D58" s="19"/>
      <c r="E58" s="1"/>
      <c r="F58"/>
      <c r="G58" s="3"/>
      <c r="H58" s="3"/>
      <c r="I58" s="3"/>
      <c r="J58" s="8"/>
      <c r="K58" s="19"/>
      <c r="L58" s="10"/>
      <c r="M58" s="2"/>
      <c r="N58" s="2"/>
      <c r="O58" s="2"/>
      <c r="T58" s="6"/>
      <c r="U58" s="8"/>
      <c r="V58" s="6"/>
      <c r="W58" s="8"/>
      <c r="X58" s="6"/>
      <c r="Y58" s="6"/>
      <c r="Z58" s="8"/>
      <c r="AA58" s="6"/>
      <c r="AB58" s="8"/>
      <c r="AC58" s="6"/>
      <c r="AD58" s="9">
        <v>-6.7900000000000006E-8</v>
      </c>
      <c r="AE58" s="9">
        <v>1.8799999999999999E-4</v>
      </c>
      <c r="AF58" s="9">
        <v>7.1000000000000002E-4</v>
      </c>
      <c r="AG58" s="9">
        <v>-7.0100000000000002E-4</v>
      </c>
    </row>
    <row r="59" spans="1:36" ht="14" x14ac:dyDescent="0.15">
      <c r="B59" s="15">
        <v>40000</v>
      </c>
      <c r="C59" s="19">
        <f>3*AE59</f>
        <v>5.7600000000000001E-4</v>
      </c>
      <c r="D59" s="19">
        <v>0</v>
      </c>
      <c r="E59" s="1" t="s">
        <v>40</v>
      </c>
      <c r="F59" s="9">
        <v>-5.1029999999999999E-4</v>
      </c>
      <c r="G59" s="9">
        <v>1.76E-4</v>
      </c>
      <c r="H59" s="9">
        <v>-8.7920000000000001E-4</v>
      </c>
      <c r="I59" s="9">
        <v>4.46E-4</v>
      </c>
      <c r="J59" s="8">
        <v>-2.9</v>
      </c>
      <c r="K59" s="19">
        <f t="shared" si="31"/>
        <v>5.7600000000000001E-4</v>
      </c>
      <c r="L59" s="8">
        <v>1000.768</v>
      </c>
      <c r="M59" s="8">
        <v>1.1721999999999999</v>
      </c>
      <c r="N59" s="8">
        <v>1017.755</v>
      </c>
      <c r="O59" s="8">
        <v>2.6894</v>
      </c>
      <c r="P59" s="14">
        <f t="shared" si="34"/>
        <v>4.6463999999999945</v>
      </c>
      <c r="Q59" s="14">
        <f t="shared" si="35"/>
        <v>0.23443999999999998</v>
      </c>
      <c r="R59" s="14">
        <f t="shared" si="36"/>
        <v>-1.249000000000001</v>
      </c>
      <c r="S59" s="14">
        <f t="shared" si="35"/>
        <v>0.53788000000000002</v>
      </c>
      <c r="T59" s="6">
        <v>20.873999999999999</v>
      </c>
      <c r="U59" s="8">
        <v>1.3115E-2</v>
      </c>
      <c r="V59" s="8">
        <v>4.1510000000000002E-3</v>
      </c>
      <c r="W59" s="8">
        <v>2.0462000000000001E-2</v>
      </c>
      <c r="X59" s="6">
        <v>0</v>
      </c>
      <c r="Y59" s="6">
        <v>0</v>
      </c>
      <c r="Z59" s="8">
        <v>0</v>
      </c>
      <c r="AA59" s="8">
        <v>153.71704099999999</v>
      </c>
      <c r="AB59" s="8">
        <v>148.16622899999999</v>
      </c>
      <c r="AC59" s="8">
        <v>9.2285000000000006E-2</v>
      </c>
      <c r="AD59" s="9">
        <v>2.2600000000000001E-7</v>
      </c>
      <c r="AE59" s="9">
        <v>1.92E-4</v>
      </c>
      <c r="AF59" s="9">
        <v>7.6000000000000004E-4</v>
      </c>
      <c r="AG59" s="9">
        <v>-7.3399999999999995E-4</v>
      </c>
      <c r="AI59" s="15"/>
      <c r="AJ59" s="15"/>
    </row>
    <row r="60" spans="1:36" x14ac:dyDescent="0.15">
      <c r="B60" s="15">
        <v>45000</v>
      </c>
      <c r="C60" s="19"/>
      <c r="D60" s="19"/>
      <c r="F60" s="19"/>
      <c r="G60" s="19"/>
      <c r="H60" s="19"/>
      <c r="I60" s="19"/>
      <c r="K60" s="19"/>
      <c r="AD60" s="19"/>
      <c r="AE60" s="19"/>
      <c r="AF60" s="19"/>
      <c r="AG60" s="19"/>
    </row>
    <row r="61" spans="1:36" x14ac:dyDescent="0.15">
      <c r="B61" s="15"/>
      <c r="C61" s="19"/>
      <c r="D61" s="19"/>
      <c r="F61" s="19"/>
      <c r="G61" s="19"/>
      <c r="H61" s="19"/>
      <c r="I61" s="19"/>
      <c r="K61" s="19"/>
      <c r="AD61" s="19"/>
      <c r="AE61" s="19"/>
      <c r="AF61" s="19"/>
      <c r="AG61" s="19"/>
    </row>
    <row r="63" spans="1:36" x14ac:dyDescent="0.15">
      <c r="P63" s="19"/>
    </row>
    <row r="80" spans="2:2" x14ac:dyDescent="0.15">
      <c r="B80" s="14" t="s">
        <v>39</v>
      </c>
    </row>
    <row r="81" spans="2:33" x14ac:dyDescent="0.15">
      <c r="C81" s="15" t="s">
        <v>35</v>
      </c>
      <c r="D81" s="15" t="s">
        <v>6</v>
      </c>
      <c r="E81" s="15" t="s">
        <v>10</v>
      </c>
      <c r="F81" s="15" t="s">
        <v>11</v>
      </c>
      <c r="G81" s="15" t="s">
        <v>6</v>
      </c>
      <c r="H81" s="15" t="s">
        <v>12</v>
      </c>
      <c r="I81" s="15" t="s">
        <v>6</v>
      </c>
      <c r="J81" s="15" t="s">
        <v>32</v>
      </c>
      <c r="K81" s="15" t="s">
        <v>33</v>
      </c>
      <c r="L81" s="15" t="s">
        <v>13</v>
      </c>
      <c r="M81" s="15" t="s">
        <v>14</v>
      </c>
      <c r="N81" s="15" t="s">
        <v>15</v>
      </c>
      <c r="O81" s="15" t="s">
        <v>14</v>
      </c>
      <c r="P81" s="1" t="s">
        <v>62</v>
      </c>
      <c r="Q81" s="1" t="s">
        <v>63</v>
      </c>
      <c r="R81" s="1" t="s">
        <v>64</v>
      </c>
      <c r="S81" s="1" t="s">
        <v>63</v>
      </c>
      <c r="T81" s="15" t="s">
        <v>31</v>
      </c>
      <c r="U81" s="15" t="s">
        <v>16</v>
      </c>
      <c r="V81" s="15" t="s">
        <v>17</v>
      </c>
      <c r="W81" s="15" t="s">
        <v>18</v>
      </c>
      <c r="X81" s="15" t="s">
        <v>19</v>
      </c>
      <c r="Y81" s="15" t="s">
        <v>20</v>
      </c>
      <c r="Z81" s="15" t="s">
        <v>21</v>
      </c>
      <c r="AA81" s="15" t="s">
        <v>22</v>
      </c>
      <c r="AB81" s="15" t="s">
        <v>23</v>
      </c>
      <c r="AC81" s="15" t="s">
        <v>24</v>
      </c>
      <c r="AD81" s="15" t="s">
        <v>25</v>
      </c>
      <c r="AE81" s="15" t="s">
        <v>26</v>
      </c>
      <c r="AF81" s="15" t="s">
        <v>27</v>
      </c>
      <c r="AG81" s="15" t="s">
        <v>28</v>
      </c>
    </row>
    <row r="82" spans="2:33" ht="14" x14ac:dyDescent="0.15">
      <c r="B82" s="15">
        <v>3445</v>
      </c>
      <c r="C82" s="19">
        <f>H82</f>
        <v>1.4082000000000001E-3</v>
      </c>
      <c r="D82" s="19">
        <f>I82</f>
        <v>7.6199999999999995E-5</v>
      </c>
      <c r="E82" s="1" t="s">
        <v>29</v>
      </c>
      <c r="F82" s="9">
        <v>3.6064000000000002E-4</v>
      </c>
      <c r="G82" s="9">
        <v>1.59E-5</v>
      </c>
      <c r="H82" s="9">
        <v>1.4082000000000001E-3</v>
      </c>
      <c r="I82" s="9">
        <v>7.6199999999999995E-5</v>
      </c>
      <c r="J82" s="8">
        <v>22.72</v>
      </c>
      <c r="K82" s="19">
        <f>3*AE82</f>
        <v>5.3190000000000004E-5</v>
      </c>
      <c r="L82" s="8">
        <v>986.85400000000004</v>
      </c>
      <c r="M82" s="8">
        <v>0.34499999999999997</v>
      </c>
      <c r="N82" s="8">
        <v>970.36500000000001</v>
      </c>
      <c r="O82" s="8">
        <v>0.71519999999999995</v>
      </c>
      <c r="P82" s="14">
        <f>(L82-1024)*(-0.2)</f>
        <v>7.4291999999999918</v>
      </c>
      <c r="Q82" s="14">
        <f>M82*0.2</f>
        <v>6.8999999999999992E-2</v>
      </c>
      <c r="R82" s="14">
        <f>(N82-1024)*(0.2)</f>
        <v>-10.726999999999999</v>
      </c>
      <c r="S82" s="14">
        <f>O82*0.2</f>
        <v>0.14304</v>
      </c>
      <c r="T82" s="8">
        <f>18.5*7.4</f>
        <v>136.9</v>
      </c>
      <c r="U82" s="8">
        <v>7.3990000000000002E-3</v>
      </c>
      <c r="V82" s="8" t="s">
        <v>87</v>
      </c>
      <c r="W82" s="8" t="s">
        <v>88</v>
      </c>
      <c r="X82" s="8">
        <v>1.253E-3</v>
      </c>
      <c r="Y82" s="8">
        <v>6.3000000000000003E-4</v>
      </c>
      <c r="Z82" s="8">
        <v>1.6620000000000001E-3</v>
      </c>
      <c r="AA82" s="8">
        <v>25.049219000000001</v>
      </c>
      <c r="AB82" s="8">
        <v>22.274280999999998</v>
      </c>
      <c r="AC82" s="8">
        <v>27.612456999999999</v>
      </c>
      <c r="AD82" s="9">
        <v>-8.4450000000000002E-7</v>
      </c>
      <c r="AE82" s="9">
        <v>1.7730000000000001E-5</v>
      </c>
      <c r="AF82" s="9">
        <v>5.3124000000000002E-5</v>
      </c>
      <c r="AG82" s="9">
        <v>-7.0586999999999993E-5</v>
      </c>
    </row>
    <row r="83" spans="2:33" ht="14" x14ac:dyDescent="0.15">
      <c r="B83" s="15">
        <v>5000</v>
      </c>
      <c r="C83" s="19">
        <f t="shared" ref="C83:C90" si="38">H83</f>
        <v>1.3768999999999999E-3</v>
      </c>
      <c r="D83" s="19">
        <f t="shared" ref="D83:D90" si="39">I83</f>
        <v>7.7799999999999994E-5</v>
      </c>
      <c r="E83" s="1" t="s">
        <v>29</v>
      </c>
      <c r="F83" s="9">
        <v>3.4935000000000001E-4</v>
      </c>
      <c r="G83" s="9">
        <v>1.6099999999999998E-5</v>
      </c>
      <c r="H83" s="9">
        <v>1.3768999999999999E-3</v>
      </c>
      <c r="I83" s="9">
        <v>7.7799999999999994E-5</v>
      </c>
      <c r="J83" s="8">
        <v>21.72</v>
      </c>
      <c r="K83" s="19">
        <f t="shared" ref="K83:K92" si="40">3*AE83</f>
        <v>5.0580000000000007E-5</v>
      </c>
      <c r="L83" s="8">
        <v>987.15</v>
      </c>
      <c r="M83" s="8">
        <v>0.36249999999999999</v>
      </c>
      <c r="N83" s="8">
        <v>969.58600000000001</v>
      </c>
      <c r="O83" s="8">
        <v>0.75170000000000003</v>
      </c>
      <c r="P83" s="14">
        <f t="shared" ref="P83:P92" si="41">(L83-1024)*(-0.2)</f>
        <v>7.3700000000000045</v>
      </c>
      <c r="Q83" s="14">
        <f t="shared" ref="Q83:Q92" si="42">M83*0.2</f>
        <v>7.2499999999999995E-2</v>
      </c>
      <c r="R83" s="14">
        <f t="shared" ref="R83:R92" si="43">(N83-1024)*(0.2)</f>
        <v>-10.882799999999998</v>
      </c>
      <c r="S83" s="14">
        <f t="shared" ref="S83:S92" si="44">O83*0.2</f>
        <v>0.15034000000000003</v>
      </c>
      <c r="T83" s="8">
        <f>18.34*7.28</f>
        <v>133.51519999999999</v>
      </c>
      <c r="U83" s="8">
        <v>7.4850000000000003E-3</v>
      </c>
      <c r="V83" s="8">
        <v>6.9340000000000001E-3</v>
      </c>
      <c r="W83" s="8">
        <v>8.0280000000000004E-3</v>
      </c>
      <c r="X83" s="8">
        <v>1.1299999999999999E-3</v>
      </c>
      <c r="Y83" s="8">
        <v>3.3199999999999999E-4</v>
      </c>
      <c r="Z83" s="8">
        <v>1.5709999999999999E-3</v>
      </c>
      <c r="AA83" s="8">
        <v>25.327435999999999</v>
      </c>
      <c r="AB83" s="8">
        <v>22.555651000000001</v>
      </c>
      <c r="AC83" s="8">
        <v>27.884979000000001</v>
      </c>
      <c r="AD83" s="9">
        <v>6.0660000000000002E-8</v>
      </c>
      <c r="AE83" s="9">
        <v>1.6860000000000001E-5</v>
      </c>
      <c r="AF83" s="9">
        <v>5.3430999999999997E-5</v>
      </c>
      <c r="AG83" s="9">
        <v>-7.4599999999999997E-5</v>
      </c>
    </row>
    <row r="84" spans="2:33" ht="14" x14ac:dyDescent="0.15">
      <c r="B84" s="15">
        <v>10000</v>
      </c>
      <c r="C84" s="19">
        <f t="shared" si="38"/>
        <v>1.3381999999999999E-3</v>
      </c>
      <c r="D84" s="19">
        <f t="shared" si="39"/>
        <v>8.0599999999999994E-5</v>
      </c>
      <c r="E84" s="1" t="s">
        <v>29</v>
      </c>
      <c r="F84" s="9">
        <v>3.3155000000000001E-4</v>
      </c>
      <c r="G84" s="9">
        <v>1.63E-5</v>
      </c>
      <c r="H84" s="9">
        <v>1.3381999999999999E-3</v>
      </c>
      <c r="I84" s="9">
        <v>8.0599999999999994E-5</v>
      </c>
      <c r="J84" s="8">
        <v>20.3</v>
      </c>
      <c r="K84" s="19">
        <f t="shared" si="40"/>
        <v>5.3069999999999992E-5</v>
      </c>
      <c r="L84" s="8">
        <v>987.04100000000005</v>
      </c>
      <c r="M84" s="8">
        <v>0.379</v>
      </c>
      <c r="N84" s="8">
        <v>969.77499999999998</v>
      </c>
      <c r="O84" s="8">
        <v>0.78700000000000003</v>
      </c>
      <c r="P84" s="14">
        <f t="shared" si="41"/>
        <v>7.3917999999999893</v>
      </c>
      <c r="Q84" s="14">
        <f t="shared" si="42"/>
        <v>7.5800000000000006E-2</v>
      </c>
      <c r="R84" s="14">
        <f t="shared" si="43"/>
        <v>-10.845000000000006</v>
      </c>
      <c r="S84" s="14">
        <f t="shared" si="44"/>
        <v>0.15740000000000001</v>
      </c>
      <c r="T84" s="6">
        <f>17.94*7</f>
        <v>125.58000000000001</v>
      </c>
      <c r="U84" s="8">
        <v>7.3179999999999999E-3</v>
      </c>
      <c r="V84" s="8">
        <v>6.7409999999999996E-3</v>
      </c>
      <c r="W84" s="8">
        <v>7.8860000000000006E-3</v>
      </c>
      <c r="X84" s="8">
        <v>1.1720000000000001E-3</v>
      </c>
      <c r="Y84" s="8">
        <v>4.0299999999999998E-4</v>
      </c>
      <c r="Z84" s="8">
        <v>1.616E-3</v>
      </c>
      <c r="AA84" s="8">
        <v>25.218582000000001</v>
      </c>
      <c r="AB84" s="8">
        <v>22.208967000000001</v>
      </c>
      <c r="AC84" s="8">
        <v>27.978155000000001</v>
      </c>
      <c r="AD84" s="9">
        <v>-2.326E-7</v>
      </c>
      <c r="AE84" s="9">
        <v>1.7689999999999998E-5</v>
      </c>
      <c r="AF84" s="9">
        <v>5.8483999999999998E-5</v>
      </c>
      <c r="AG84" s="9">
        <v>-7.2365000000000003E-5</v>
      </c>
    </row>
    <row r="85" spans="2:33" ht="14" x14ac:dyDescent="0.15">
      <c r="B85" s="15">
        <v>15000</v>
      </c>
      <c r="C85" s="19">
        <f t="shared" si="38"/>
        <v>1.1705999999999999E-3</v>
      </c>
      <c r="D85" s="19">
        <f t="shared" si="39"/>
        <v>7.4499999999999995E-5</v>
      </c>
      <c r="E85" s="1" t="s">
        <v>29</v>
      </c>
      <c r="F85" s="7">
        <v>3.2016999999999999E-4</v>
      </c>
      <c r="G85" s="7">
        <v>1.6399999999999999E-5</v>
      </c>
      <c r="H85" s="7">
        <v>1.1705999999999999E-3</v>
      </c>
      <c r="I85" s="7">
        <v>7.4499999999999995E-5</v>
      </c>
      <c r="J85">
        <v>19.54</v>
      </c>
      <c r="K85" s="19">
        <f t="shared" si="40"/>
        <v>5.2769999999999998E-5</v>
      </c>
      <c r="L85">
        <v>986.70600000000002</v>
      </c>
      <c r="M85">
        <v>0.3725</v>
      </c>
      <c r="N85">
        <v>970.51400000000001</v>
      </c>
      <c r="O85">
        <v>0.76170000000000004</v>
      </c>
      <c r="P85" s="14">
        <f t="shared" si="41"/>
        <v>7.4587999999999965</v>
      </c>
      <c r="Q85" s="14">
        <f t="shared" si="42"/>
        <v>7.4499999999999997E-2</v>
      </c>
      <c r="R85" s="14">
        <f t="shared" si="43"/>
        <v>-10.697199999999999</v>
      </c>
      <c r="S85" s="14">
        <f t="shared" si="44"/>
        <v>0.15234000000000003</v>
      </c>
      <c r="T85" s="6">
        <f>17.77*6.88</f>
        <v>122.2576</v>
      </c>
      <c r="U85" s="8">
        <v>6.7590000000000003E-3</v>
      </c>
      <c r="V85" s="8">
        <v>6.1910000000000003E-3</v>
      </c>
      <c r="W85" s="8">
        <v>7.3169999999999997E-3</v>
      </c>
      <c r="X85" s="8">
        <v>8.2200000000000003E-4</v>
      </c>
      <c r="Y85" s="8">
        <v>0</v>
      </c>
      <c r="Z85" s="8">
        <v>1.371E-3</v>
      </c>
      <c r="AA85" s="8">
        <v>26.331265999999999</v>
      </c>
      <c r="AB85" s="8">
        <v>22.992650999999999</v>
      </c>
      <c r="AC85">
        <v>29.365282000000001</v>
      </c>
      <c r="AD85" s="9">
        <v>-1.437E-7</v>
      </c>
      <c r="AE85" s="9">
        <v>1.7589999999999999E-5</v>
      </c>
      <c r="AF85" s="9">
        <v>6.1291999999999995E-5</v>
      </c>
      <c r="AG85" s="9">
        <v>-7.0426999999999995E-5</v>
      </c>
    </row>
    <row r="86" spans="2:33" ht="14" x14ac:dyDescent="0.15">
      <c r="B86" s="15">
        <v>20000</v>
      </c>
      <c r="C86" s="19">
        <f t="shared" si="38"/>
        <v>7.1878999999999997E-4</v>
      </c>
      <c r="D86" s="19">
        <f t="shared" si="39"/>
        <v>5.8E-5</v>
      </c>
      <c r="E86" s="1" t="s">
        <v>29</v>
      </c>
      <c r="F86" s="7">
        <v>2.9003999999999998E-4</v>
      </c>
      <c r="G86" s="7">
        <v>1.7399999999999999E-5</v>
      </c>
      <c r="H86" s="7">
        <v>7.1878999999999997E-4</v>
      </c>
      <c r="I86" s="7">
        <v>5.8E-5</v>
      </c>
      <c r="J86">
        <v>16.66</v>
      </c>
      <c r="K86" s="19">
        <f t="shared" si="40"/>
        <v>5.5949999999999998E-5</v>
      </c>
      <c r="L86">
        <v>985.33600000000001</v>
      </c>
      <c r="M86">
        <v>0.3256</v>
      </c>
      <c r="N86">
        <v>972.36800000000005</v>
      </c>
      <c r="O86">
        <v>0.65149999999999997</v>
      </c>
      <c r="P86" s="14">
        <f t="shared" si="41"/>
        <v>7.7327999999999975</v>
      </c>
      <c r="Q86" s="14">
        <f t="shared" si="42"/>
        <v>6.5119999999999997E-2</v>
      </c>
      <c r="R86" s="14">
        <f t="shared" si="43"/>
        <v>-10.326399999999991</v>
      </c>
      <c r="S86" s="14">
        <f t="shared" si="44"/>
        <v>0.1303</v>
      </c>
      <c r="T86" s="6">
        <f>16.87*6.47</f>
        <v>109.1489</v>
      </c>
      <c r="U86" s="8">
        <v>4.4929999999999996E-3</v>
      </c>
      <c r="V86" s="8">
        <v>3.9509999999999997E-3</v>
      </c>
      <c r="W86">
        <v>5.0150000000000004E-3</v>
      </c>
      <c r="X86">
        <v>0</v>
      </c>
      <c r="Y86">
        <v>0</v>
      </c>
      <c r="Z86">
        <v>8.0400000000000003E-4</v>
      </c>
      <c r="AA86" s="8">
        <v>29.861160000000002</v>
      </c>
      <c r="AB86">
        <v>23.650255000000001</v>
      </c>
      <c r="AC86">
        <v>35.279860999999997</v>
      </c>
      <c r="AD86" s="9">
        <v>-1.178E-7</v>
      </c>
      <c r="AE86" s="9">
        <v>1.8649999999999999E-5</v>
      </c>
      <c r="AF86" s="9">
        <v>6.9740999999999995E-5</v>
      </c>
      <c r="AG86" s="9">
        <v>-7.0277000000000005E-5</v>
      </c>
    </row>
    <row r="87" spans="2:33" ht="14" x14ac:dyDescent="0.15">
      <c r="B87" s="15">
        <v>25000</v>
      </c>
      <c r="C87" s="19">
        <f t="shared" si="38"/>
        <v>4.5815E-4</v>
      </c>
      <c r="D87" s="19">
        <f t="shared" si="39"/>
        <v>4.5399999999999999E-5</v>
      </c>
      <c r="E87" s="1" t="s">
        <v>29</v>
      </c>
      <c r="F87" s="7">
        <v>2.7872999999999998E-4</v>
      </c>
      <c r="G87" s="7">
        <v>1.8600000000000001E-5</v>
      </c>
      <c r="H87" s="7">
        <v>4.5815E-4</v>
      </c>
      <c r="I87" s="7">
        <v>4.5399999999999999E-5</v>
      </c>
      <c r="J87">
        <v>15.02</v>
      </c>
      <c r="K87" s="19">
        <f t="shared" si="40"/>
        <v>5.9729999999999999E-5</v>
      </c>
      <c r="L87">
        <v>984.32799999999997</v>
      </c>
      <c r="M87">
        <v>0.26090000000000002</v>
      </c>
      <c r="N87">
        <v>973.00800000000004</v>
      </c>
      <c r="O87">
        <v>0.52339999999999998</v>
      </c>
      <c r="P87" s="14">
        <f t="shared" si="41"/>
        <v>7.9344000000000054</v>
      </c>
      <c r="Q87" s="14">
        <f t="shared" si="42"/>
        <v>5.2180000000000004E-2</v>
      </c>
      <c r="R87" s="14">
        <f t="shared" si="43"/>
        <v>-10.198399999999992</v>
      </c>
      <c r="S87" s="14">
        <f t="shared" si="44"/>
        <v>0.10468</v>
      </c>
      <c r="T87" s="6">
        <f>16.02*6.07</f>
        <v>97.241399999999999</v>
      </c>
      <c r="U87" s="8">
        <v>2.614E-3</v>
      </c>
      <c r="V87" s="8">
        <v>2.0739999999999999E-3</v>
      </c>
      <c r="W87">
        <v>3.1150000000000001E-3</v>
      </c>
      <c r="X87">
        <v>0</v>
      </c>
      <c r="Y87">
        <v>0</v>
      </c>
      <c r="Z87">
        <v>0</v>
      </c>
      <c r="AA87" s="8">
        <v>37.597881000000001</v>
      </c>
      <c r="AB87">
        <v>26.337029000000001</v>
      </c>
      <c r="AC87">
        <v>48.647494999999999</v>
      </c>
      <c r="AD87" s="9">
        <v>-7.3020000000000001E-8</v>
      </c>
      <c r="AE87" s="9">
        <v>1.9910000000000001E-5</v>
      </c>
      <c r="AF87" s="9">
        <v>6.7302E-5</v>
      </c>
      <c r="AG87" s="9">
        <v>-7.6286999999999997E-5</v>
      </c>
    </row>
    <row r="88" spans="2:33" ht="14" x14ac:dyDescent="0.15">
      <c r="B88" s="15">
        <v>30000</v>
      </c>
      <c r="C88" s="19">
        <f t="shared" si="38"/>
        <v>3.7574E-4</v>
      </c>
      <c r="D88" s="19">
        <f t="shared" si="39"/>
        <v>4.8199999999999999E-5</v>
      </c>
      <c r="E88" s="1" t="s">
        <v>29</v>
      </c>
      <c r="F88" s="7">
        <v>2.3048E-4</v>
      </c>
      <c r="G88" s="7">
        <v>1.98E-5</v>
      </c>
      <c r="H88" s="7">
        <v>3.7574E-4</v>
      </c>
      <c r="I88" s="7">
        <v>4.8199999999999999E-5</v>
      </c>
      <c r="J88">
        <v>11.64</v>
      </c>
      <c r="K88" s="19">
        <f t="shared" si="40"/>
        <v>6.1890000000000005E-5</v>
      </c>
      <c r="L88">
        <v>984.37800000000004</v>
      </c>
      <c r="M88">
        <v>0.28889999999999999</v>
      </c>
      <c r="N88">
        <v>972.92100000000005</v>
      </c>
      <c r="O88">
        <v>0.6986</v>
      </c>
      <c r="P88" s="14">
        <f t="shared" si="41"/>
        <v>7.9243999999999915</v>
      </c>
      <c r="Q88" s="14">
        <f t="shared" si="42"/>
        <v>5.7779999999999998E-2</v>
      </c>
      <c r="R88" s="14">
        <f t="shared" si="43"/>
        <v>-10.215799999999991</v>
      </c>
      <c r="S88" s="14">
        <f t="shared" si="44"/>
        <v>0.13972000000000001</v>
      </c>
      <c r="T88" s="6">
        <f>15.9*5.55</f>
        <v>88.245000000000005</v>
      </c>
      <c r="U88" s="8">
        <v>2.653E-3</v>
      </c>
      <c r="V88">
        <v>1.9400000000000001E-3</v>
      </c>
      <c r="W88">
        <v>3.297E-3</v>
      </c>
      <c r="X88">
        <v>0</v>
      </c>
      <c r="Y88">
        <v>0</v>
      </c>
      <c r="Z88">
        <v>4.64E-4</v>
      </c>
      <c r="AA88" s="8">
        <v>30.720358000000001</v>
      </c>
      <c r="AB88">
        <v>16.271055</v>
      </c>
      <c r="AC88">
        <v>43.217399999999998</v>
      </c>
      <c r="AD88" s="9">
        <v>-5.7989999999999998E-8</v>
      </c>
      <c r="AE88" s="9">
        <v>2.0630000000000001E-5</v>
      </c>
      <c r="AF88" s="9">
        <v>8.1853000000000004E-5</v>
      </c>
      <c r="AG88" s="9">
        <v>-7.5971999999999997E-5</v>
      </c>
    </row>
    <row r="89" spans="2:33" ht="14" x14ac:dyDescent="0.15">
      <c r="B89" s="15">
        <v>35000</v>
      </c>
      <c r="C89" s="19">
        <f t="shared" si="38"/>
        <v>3.1482999999999999E-4</v>
      </c>
      <c r="D89" s="19">
        <f t="shared" si="39"/>
        <v>4.7700000000000001E-5</v>
      </c>
      <c r="E89" s="1" t="s">
        <v>29</v>
      </c>
      <c r="F89" s="7">
        <v>1.9960999999999999E-4</v>
      </c>
      <c r="G89" s="7">
        <v>2.0100000000000001E-5</v>
      </c>
      <c r="H89" s="7">
        <v>3.1482999999999999E-4</v>
      </c>
      <c r="I89" s="7">
        <v>4.7700000000000001E-5</v>
      </c>
      <c r="J89">
        <v>9.9499999999999993</v>
      </c>
      <c r="K89" s="19">
        <f t="shared" si="40"/>
        <v>6.2130000000000003E-5</v>
      </c>
      <c r="L89">
        <v>984.29</v>
      </c>
      <c r="M89">
        <v>0.318</v>
      </c>
      <c r="N89">
        <v>972.48099999999999</v>
      </c>
      <c r="O89">
        <v>0.8448</v>
      </c>
      <c r="P89" s="14">
        <f t="shared" si="41"/>
        <v>7.9420000000000073</v>
      </c>
      <c r="Q89" s="14">
        <f t="shared" si="42"/>
        <v>6.3600000000000004E-2</v>
      </c>
      <c r="R89" s="14">
        <f t="shared" si="43"/>
        <v>-10.303800000000003</v>
      </c>
      <c r="S89" s="14">
        <f t="shared" si="44"/>
        <v>0.16896</v>
      </c>
      <c r="T89" s="6">
        <f>15.7*5.42</f>
        <v>85.093999999999994</v>
      </c>
      <c r="U89" s="8">
        <v>2.8800000000000002E-3</v>
      </c>
      <c r="V89">
        <v>2.0630000000000002E-3</v>
      </c>
      <c r="W89">
        <v>3.6150000000000002E-3</v>
      </c>
      <c r="X89">
        <v>0</v>
      </c>
      <c r="Y89">
        <v>0</v>
      </c>
      <c r="Z89">
        <v>0</v>
      </c>
      <c r="AA89" s="8">
        <v>28.210493</v>
      </c>
      <c r="AB89">
        <v>13.849764</v>
      </c>
      <c r="AC89">
        <v>39.455298999999997</v>
      </c>
      <c r="AD89" s="9">
        <v>-4.7589999999999998E-8</v>
      </c>
      <c r="AE89" s="9">
        <v>2.071E-5</v>
      </c>
      <c r="AF89" s="9">
        <v>8.8832999999999995E-5</v>
      </c>
      <c r="AG89" s="9">
        <v>-7.7383000000000001E-5</v>
      </c>
    </row>
    <row r="90" spans="2:33" ht="14" x14ac:dyDescent="0.15">
      <c r="B90" s="15">
        <v>40000</v>
      </c>
      <c r="C90" s="19">
        <f t="shared" si="38"/>
        <v>1.7496999999999999E-4</v>
      </c>
      <c r="D90" s="19">
        <f t="shared" si="39"/>
        <v>5.1700000000000003E-5</v>
      </c>
      <c r="E90" s="1" t="s">
        <v>29</v>
      </c>
      <c r="F90" s="7">
        <v>1.0792E-4</v>
      </c>
      <c r="G90" s="7">
        <v>2.1299999999999999E-5</v>
      </c>
      <c r="H90" s="7">
        <v>1.7496999999999999E-4</v>
      </c>
      <c r="I90" s="7">
        <v>5.1700000000000003E-5</v>
      </c>
      <c r="J90">
        <v>5.0599999999999996</v>
      </c>
      <c r="K90" s="19">
        <f t="shared" si="40"/>
        <v>6.6990000000000007E-5</v>
      </c>
      <c r="L90">
        <v>983.428</v>
      </c>
      <c r="M90">
        <v>0.58189999999999997</v>
      </c>
      <c r="N90">
        <v>976.6</v>
      </c>
      <c r="O90">
        <v>2.2128999999999999</v>
      </c>
      <c r="P90" s="14">
        <f t="shared" si="41"/>
        <v>8.1144000000000016</v>
      </c>
      <c r="Q90" s="14">
        <f t="shared" si="42"/>
        <v>0.11638</v>
      </c>
      <c r="R90" s="14">
        <f t="shared" si="43"/>
        <v>-9.4799999999999951</v>
      </c>
      <c r="S90" s="14">
        <f t="shared" si="44"/>
        <v>0.44257999999999997</v>
      </c>
      <c r="T90" s="6">
        <f>15.85*4.99</f>
        <v>79.091499999999996</v>
      </c>
      <c r="U90" s="8">
        <v>4.5370000000000002E-3</v>
      </c>
      <c r="V90">
        <v>2.7680000000000001E-3</v>
      </c>
      <c r="W90">
        <v>6.1320000000000003E-3</v>
      </c>
      <c r="X90">
        <v>0</v>
      </c>
      <c r="Y90">
        <v>0</v>
      </c>
      <c r="Z90">
        <v>0</v>
      </c>
      <c r="AA90" s="8">
        <v>19.333473000000001</v>
      </c>
      <c r="AB90">
        <v>4.4929569999999996</v>
      </c>
      <c r="AC90">
        <v>27.351527999999998</v>
      </c>
      <c r="AD90" s="9">
        <v>-6.3920000000000006E-8</v>
      </c>
      <c r="AE90" s="9">
        <v>2.2330000000000001E-5</v>
      </c>
      <c r="AF90" s="9">
        <v>8.3046000000000004E-5</v>
      </c>
      <c r="AG90" s="9">
        <v>-8.7037E-5</v>
      </c>
    </row>
    <row r="91" spans="2:33" ht="14" x14ac:dyDescent="0.15">
      <c r="B91" s="15">
        <v>45000</v>
      </c>
      <c r="C91" s="19">
        <f>3*AE91</f>
        <v>7.094999999999999E-5</v>
      </c>
      <c r="D91" s="19">
        <v>0</v>
      </c>
      <c r="E91" s="1" t="s">
        <v>40</v>
      </c>
      <c r="F91" s="7">
        <v>-1.5296E-4</v>
      </c>
      <c r="G91" s="7">
        <v>2.3300000000000001E-5</v>
      </c>
      <c r="H91" s="7">
        <v>-1.0862E-4</v>
      </c>
      <c r="I91" s="7">
        <v>3.2400000000000001E-5</v>
      </c>
      <c r="J91">
        <v>-6.55</v>
      </c>
      <c r="K91" s="19">
        <f t="shared" si="40"/>
        <v>7.094999999999999E-5</v>
      </c>
      <c r="L91">
        <v>975.60699999999997</v>
      </c>
      <c r="M91">
        <v>0.28170000000000001</v>
      </c>
      <c r="N91">
        <v>973.26</v>
      </c>
      <c r="O91">
        <v>0.84340000000000004</v>
      </c>
      <c r="P91" s="14">
        <f t="shared" si="41"/>
        <v>9.6786000000000065</v>
      </c>
      <c r="Q91" s="14">
        <f t="shared" si="42"/>
        <v>5.6340000000000001E-2</v>
      </c>
      <c r="R91" s="14">
        <f t="shared" si="43"/>
        <v>-10.148000000000003</v>
      </c>
      <c r="S91" s="14">
        <f t="shared" si="44"/>
        <v>0.16868000000000002</v>
      </c>
      <c r="T91" s="6">
        <f>16.66*4.72</f>
        <v>78.635199999999998</v>
      </c>
      <c r="U91">
        <v>3.5599999999999998E-4</v>
      </c>
      <c r="V91">
        <v>0</v>
      </c>
      <c r="W91">
        <v>1.354E-3</v>
      </c>
      <c r="X91">
        <v>0</v>
      </c>
      <c r="Y91">
        <v>0</v>
      </c>
      <c r="Z91">
        <v>1.292E-3</v>
      </c>
      <c r="AA91" s="8">
        <v>157.74388099999999</v>
      </c>
      <c r="AB91">
        <v>135.486572</v>
      </c>
      <c r="AC91">
        <v>179.74276699999999</v>
      </c>
      <c r="AD91" s="9">
        <v>-1.194E-7</v>
      </c>
      <c r="AE91" s="9">
        <v>2.3649999999999999E-5</v>
      </c>
      <c r="AF91" s="9">
        <v>8.4251000000000004E-5</v>
      </c>
      <c r="AG91" s="9">
        <v>-8.7731000000000004E-5</v>
      </c>
    </row>
    <row r="92" spans="2:33" ht="14" x14ac:dyDescent="0.15">
      <c r="B92" s="15">
        <v>50000</v>
      </c>
      <c r="C92" s="19">
        <f>3*AE92</f>
        <v>7.7340000000000002E-5</v>
      </c>
      <c r="D92" s="19">
        <v>0</v>
      </c>
      <c r="E92" s="1" t="s">
        <v>40</v>
      </c>
      <c r="F92" s="7">
        <v>-1.3611999999999999E-4</v>
      </c>
      <c r="G92" s="7">
        <v>2.4899999999999999E-5</v>
      </c>
      <c r="H92" s="7">
        <v>-1.0425999999999999E-4</v>
      </c>
      <c r="I92" s="7">
        <v>3.6199999999999999E-5</v>
      </c>
      <c r="J92">
        <v>-5.47</v>
      </c>
      <c r="K92" s="19">
        <f t="shared" si="40"/>
        <v>7.7340000000000002E-5</v>
      </c>
      <c r="L92">
        <v>976.06799999999998</v>
      </c>
      <c r="M92">
        <v>0.32219999999999999</v>
      </c>
      <c r="N92">
        <v>972.82299999999998</v>
      </c>
      <c r="O92">
        <v>1.0382</v>
      </c>
      <c r="P92" s="14">
        <f t="shared" si="41"/>
        <v>9.5864000000000029</v>
      </c>
      <c r="Q92" s="14">
        <f t="shared" si="42"/>
        <v>6.4439999999999997E-2</v>
      </c>
      <c r="R92" s="14">
        <f t="shared" si="43"/>
        <v>-10.235400000000006</v>
      </c>
      <c r="S92" s="14">
        <f t="shared" si="44"/>
        <v>0.20764000000000002</v>
      </c>
      <c r="T92" s="6">
        <f>15.9*4.5</f>
        <v>71.55</v>
      </c>
      <c r="U92">
        <v>5.1999999999999995E-4</v>
      </c>
      <c r="V92">
        <v>0</v>
      </c>
      <c r="W92">
        <v>1.073E-3</v>
      </c>
      <c r="X92">
        <v>0</v>
      </c>
      <c r="Y92">
        <v>0</v>
      </c>
      <c r="Z92">
        <v>1.7470000000000001E-3</v>
      </c>
      <c r="AA92" s="8">
        <v>152.788544</v>
      </c>
      <c r="AB92">
        <v>113.128906</v>
      </c>
      <c r="AC92">
        <v>9.4863739999999996</v>
      </c>
      <c r="AD92" s="9">
        <v>5.1480000000000002E-8</v>
      </c>
      <c r="AE92" s="9">
        <v>2.5780000000000001E-5</v>
      </c>
      <c r="AF92" s="9">
        <v>9.1330999999999997E-5</v>
      </c>
      <c r="AG92" s="9">
        <v>-9.9765000000000005E-5</v>
      </c>
    </row>
    <row r="93" spans="2:33" x14ac:dyDescent="0.15">
      <c r="C93" s="19"/>
      <c r="D93" s="19"/>
      <c r="F93" s="19"/>
      <c r="G93" s="19"/>
      <c r="H93" s="19"/>
      <c r="I93" s="19"/>
      <c r="K93" s="19"/>
      <c r="T93" s="15"/>
      <c r="U93" s="22"/>
      <c r="AD93" s="19"/>
      <c r="AE93" s="19"/>
      <c r="AF93" s="19"/>
      <c r="AG93" s="19"/>
    </row>
    <row r="94" spans="2:33" x14ac:dyDescent="0.15">
      <c r="C94" s="19"/>
      <c r="D94" s="19"/>
      <c r="F94" s="19"/>
      <c r="G94" s="19"/>
      <c r="H94" s="19"/>
      <c r="I94" s="19"/>
      <c r="K94" s="19"/>
      <c r="T94" s="15"/>
      <c r="U94" s="22"/>
      <c r="AD94" s="19"/>
      <c r="AE94" s="19"/>
      <c r="AF94" s="19"/>
      <c r="AG94" s="19"/>
    </row>
    <row r="95" spans="2:33" x14ac:dyDescent="0.15">
      <c r="C95" s="19" t="s">
        <v>107</v>
      </c>
      <c r="D95" s="19" t="s">
        <v>108</v>
      </c>
      <c r="F95" s="19"/>
      <c r="G95" s="19"/>
      <c r="H95" s="19"/>
      <c r="I95" s="19"/>
      <c r="K95" s="19"/>
      <c r="T95" s="15"/>
      <c r="U95" s="22"/>
      <c r="AD95" s="19"/>
      <c r="AE95" s="19"/>
      <c r="AF95" s="19"/>
      <c r="AG95" s="19"/>
    </row>
    <row r="96" spans="2:33" x14ac:dyDescent="0.15">
      <c r="C96" s="15" t="s">
        <v>35</v>
      </c>
      <c r="D96" s="15" t="s">
        <v>6</v>
      </c>
      <c r="E96" s="15" t="s">
        <v>10</v>
      </c>
      <c r="F96" s="15" t="s">
        <v>11</v>
      </c>
      <c r="G96" s="15" t="s">
        <v>6</v>
      </c>
      <c r="H96" s="15" t="s">
        <v>12</v>
      </c>
      <c r="I96" s="15" t="s">
        <v>6</v>
      </c>
      <c r="J96" s="15" t="s">
        <v>32</v>
      </c>
      <c r="K96" s="15" t="s">
        <v>33</v>
      </c>
      <c r="L96" s="15" t="s">
        <v>13</v>
      </c>
      <c r="M96" s="15" t="s">
        <v>14</v>
      </c>
      <c r="N96" s="15" t="s">
        <v>15</v>
      </c>
      <c r="O96" s="15" t="s">
        <v>14</v>
      </c>
      <c r="P96" s="1" t="s">
        <v>62</v>
      </c>
      <c r="Q96" s="1" t="s">
        <v>63</v>
      </c>
      <c r="R96" s="1" t="s">
        <v>64</v>
      </c>
      <c r="S96" s="1" t="s">
        <v>63</v>
      </c>
      <c r="T96" s="15" t="s">
        <v>31</v>
      </c>
      <c r="U96" s="15" t="s">
        <v>16</v>
      </c>
      <c r="V96" s="15" t="s">
        <v>17</v>
      </c>
      <c r="W96" s="15" t="s">
        <v>18</v>
      </c>
      <c r="X96" s="15" t="s">
        <v>19</v>
      </c>
      <c r="Y96" s="15" t="s">
        <v>20</v>
      </c>
      <c r="Z96" s="15" t="s">
        <v>21</v>
      </c>
      <c r="AA96" s="15" t="s">
        <v>22</v>
      </c>
      <c r="AB96" s="15" t="s">
        <v>23</v>
      </c>
      <c r="AC96" s="15" t="s">
        <v>24</v>
      </c>
      <c r="AD96" s="15" t="s">
        <v>25</v>
      </c>
      <c r="AE96" s="15" t="s">
        <v>26</v>
      </c>
      <c r="AF96" s="15" t="s">
        <v>27</v>
      </c>
      <c r="AG96" s="15" t="s">
        <v>28</v>
      </c>
    </row>
    <row r="97" spans="2:35" ht="14" x14ac:dyDescent="0.15">
      <c r="B97" s="15">
        <v>3445</v>
      </c>
      <c r="C97" s="19">
        <f t="shared" ref="C97:C100" si="45">1000*F97</f>
        <v>0.44927</v>
      </c>
      <c r="D97" s="19">
        <f t="shared" ref="D97:D100" si="46">1000*G97</f>
        <v>1.7100000000000001E-2</v>
      </c>
      <c r="E97" s="1" t="s">
        <v>109</v>
      </c>
      <c r="F97" s="31">
        <v>4.4926999999999999E-4</v>
      </c>
      <c r="G97" s="31">
        <v>1.7099999999999999E-5</v>
      </c>
      <c r="H97" s="31">
        <v>5.5814000000000005E-4</v>
      </c>
      <c r="I97" s="31">
        <v>3.4400000000000003E-5</v>
      </c>
      <c r="J97" s="33">
        <v>26.24</v>
      </c>
      <c r="K97" s="19">
        <f>3*AE97</f>
        <v>5.3190000000000004E-5</v>
      </c>
      <c r="L97" s="33">
        <v>973.44100000000003</v>
      </c>
      <c r="M97" s="33">
        <v>0.15379999999999999</v>
      </c>
      <c r="N97" s="33">
        <v>1017.458</v>
      </c>
      <c r="O97" s="33">
        <v>0.31590000000000001</v>
      </c>
      <c r="P97" s="14">
        <f>(L97-1024)*(-0.2)</f>
        <v>10.111799999999995</v>
      </c>
      <c r="Q97" s="14">
        <f>M97*0.2</f>
        <v>3.0759999999999999E-2</v>
      </c>
      <c r="R97" s="14">
        <f>(N97-1024)*(0.2)</f>
        <v>-1.308400000000006</v>
      </c>
      <c r="S97" s="14">
        <f>O97*0.2</f>
        <v>6.318E-2</v>
      </c>
      <c r="T97" s="33">
        <f>18.5*7.4</f>
        <v>136.9</v>
      </c>
      <c r="U97" s="33">
        <v>1.606E-3</v>
      </c>
      <c r="V97" s="33">
        <v>0</v>
      </c>
      <c r="W97" s="33">
        <v>2.0890000000000001E-3</v>
      </c>
      <c r="X97" s="33">
        <v>6.2399999999999999E-4</v>
      </c>
      <c r="Y97" s="33">
        <v>0</v>
      </c>
      <c r="Z97" s="33">
        <v>1.4159999999999999E-3</v>
      </c>
      <c r="AA97" s="33">
        <v>145.669479</v>
      </c>
      <c r="AB97" s="33">
        <v>127.804688</v>
      </c>
      <c r="AC97" s="33">
        <v>179.759659</v>
      </c>
      <c r="AD97" s="9">
        <v>-8.4450000000000002E-7</v>
      </c>
      <c r="AE97" s="9">
        <v>1.7730000000000001E-5</v>
      </c>
      <c r="AF97" s="9">
        <v>5.3124000000000002E-5</v>
      </c>
      <c r="AG97" s="9">
        <v>-7.0586999999999993E-5</v>
      </c>
      <c r="AI97" s="19"/>
    </row>
    <row r="98" spans="2:35" ht="14" x14ac:dyDescent="0.15">
      <c r="B98" s="15">
        <v>5000</v>
      </c>
      <c r="C98" s="19">
        <f t="shared" si="45"/>
        <v>0.43936000000000003</v>
      </c>
      <c r="D98" s="19">
        <f t="shared" si="46"/>
        <v>1.7499999999999998E-2</v>
      </c>
      <c r="E98" s="1" t="s">
        <v>109</v>
      </c>
      <c r="F98" s="31">
        <v>4.3936000000000002E-4</v>
      </c>
      <c r="G98" s="31">
        <v>1.7499999999999998E-5</v>
      </c>
      <c r="H98" s="31">
        <v>4.9715000000000002E-4</v>
      </c>
      <c r="I98" s="31">
        <v>3.3000000000000003E-5</v>
      </c>
      <c r="J98" s="33">
        <v>25.06</v>
      </c>
      <c r="K98" s="19">
        <f t="shared" ref="K98:K106" si="47">3*AE98</f>
        <v>5.0580000000000007E-5</v>
      </c>
      <c r="L98" s="33">
        <v>973.52800000000002</v>
      </c>
      <c r="M98" s="33">
        <v>0.15110000000000001</v>
      </c>
      <c r="N98" s="33">
        <v>1017.504</v>
      </c>
      <c r="O98" s="33">
        <v>0.31459999999999999</v>
      </c>
      <c r="P98" s="14">
        <f t="shared" ref="P98:P117" si="48">(L98-1024)*(-0.2)</f>
        <v>10.094399999999997</v>
      </c>
      <c r="Q98" s="14">
        <f t="shared" ref="Q98:Q117" si="49">M98*0.2</f>
        <v>3.0220000000000004E-2</v>
      </c>
      <c r="R98" s="14">
        <f t="shared" ref="R98:R117" si="50">(N98-1024)*(0.2)</f>
        <v>-1.2991999999999964</v>
      </c>
      <c r="S98" s="14">
        <f t="shared" ref="S98:S117" si="51">O98*0.2</f>
        <v>6.2920000000000004E-2</v>
      </c>
      <c r="T98" s="33">
        <f>18.34*7.28</f>
        <v>133.51519999999999</v>
      </c>
      <c r="U98" s="33">
        <v>1.2199999999999999E-3</v>
      </c>
      <c r="V98" s="33">
        <v>0</v>
      </c>
      <c r="W98" s="33">
        <v>1.771E-3</v>
      </c>
      <c r="X98" s="33">
        <v>0</v>
      </c>
      <c r="Y98" s="33">
        <v>0</v>
      </c>
      <c r="Z98" s="33">
        <v>1.1509999999999999E-3</v>
      </c>
      <c r="AA98" s="33">
        <v>134.02865600000001</v>
      </c>
      <c r="AB98" s="33">
        <v>106.417603</v>
      </c>
      <c r="AC98" s="33">
        <v>175.69615200000001</v>
      </c>
      <c r="AD98" s="9">
        <v>6.0660000000000002E-8</v>
      </c>
      <c r="AE98" s="9">
        <v>1.6860000000000001E-5</v>
      </c>
      <c r="AF98" s="9">
        <v>5.3430999999999997E-5</v>
      </c>
      <c r="AG98" s="9">
        <v>-7.4599999999999997E-5</v>
      </c>
      <c r="AI98" s="19"/>
    </row>
    <row r="99" spans="2:35" ht="14" x14ac:dyDescent="0.15">
      <c r="B99" s="15">
        <v>10000</v>
      </c>
      <c r="C99" s="19">
        <f t="shared" si="45"/>
        <v>0.44068999999999997</v>
      </c>
      <c r="D99" s="19">
        <f t="shared" si="46"/>
        <v>1.78E-2</v>
      </c>
      <c r="E99" s="1" t="s">
        <v>109</v>
      </c>
      <c r="F99" s="31">
        <v>4.4068999999999998E-4</v>
      </c>
      <c r="G99" s="31">
        <v>1.7799999999999999E-5</v>
      </c>
      <c r="H99" s="31">
        <v>5.0075E-4</v>
      </c>
      <c r="I99" s="31">
        <v>3.3599999999999997E-5</v>
      </c>
      <c r="J99" s="33">
        <v>24.75</v>
      </c>
      <c r="K99" s="19">
        <f t="shared" si="47"/>
        <v>5.3069999999999992E-5</v>
      </c>
      <c r="L99" s="33">
        <v>973.47799999999995</v>
      </c>
      <c r="M99" s="33">
        <v>0.14949999999999999</v>
      </c>
      <c r="N99" s="33">
        <v>1017.495</v>
      </c>
      <c r="O99" s="33">
        <v>0.31069999999999998</v>
      </c>
      <c r="P99" s="14">
        <f t="shared" si="48"/>
        <v>10.104400000000011</v>
      </c>
      <c r="Q99" s="14">
        <f t="shared" si="49"/>
        <v>2.9899999999999999E-2</v>
      </c>
      <c r="R99" s="14">
        <f t="shared" si="50"/>
        <v>-1.3009999999999993</v>
      </c>
      <c r="S99" s="14">
        <f t="shared" si="51"/>
        <v>6.2140000000000001E-2</v>
      </c>
      <c r="T99" s="33">
        <f>17.94*7</f>
        <v>125.58000000000001</v>
      </c>
      <c r="U99" s="33">
        <v>1.222E-3</v>
      </c>
      <c r="V99" s="33">
        <v>0</v>
      </c>
      <c r="W99" s="33">
        <v>1.7520000000000001E-3</v>
      </c>
      <c r="X99" s="33">
        <v>0</v>
      </c>
      <c r="Y99" s="33">
        <v>0</v>
      </c>
      <c r="Z99" s="33">
        <v>1.155E-3</v>
      </c>
      <c r="AA99" s="33">
        <v>131.994843</v>
      </c>
      <c r="AB99" s="33">
        <v>104.926025</v>
      </c>
      <c r="AC99" s="33">
        <v>169.29379299999999</v>
      </c>
      <c r="AD99" s="9">
        <v>-2.326E-7</v>
      </c>
      <c r="AE99" s="9">
        <v>1.7689999999999998E-5</v>
      </c>
      <c r="AF99" s="9">
        <v>5.8483999999999998E-5</v>
      </c>
      <c r="AG99" s="9">
        <v>-7.2365000000000003E-5</v>
      </c>
      <c r="AI99" s="19"/>
    </row>
    <row r="100" spans="2:35" ht="14" x14ac:dyDescent="0.15">
      <c r="B100" s="15">
        <v>15000</v>
      </c>
      <c r="C100" s="19">
        <f t="shared" si="45"/>
        <v>0.44470999999999999</v>
      </c>
      <c r="D100" s="19">
        <f t="shared" si="46"/>
        <v>1.77E-2</v>
      </c>
      <c r="E100" s="1" t="s">
        <v>109</v>
      </c>
      <c r="F100" s="31">
        <v>4.4471000000000002E-4</v>
      </c>
      <c r="G100" s="31">
        <v>1.77E-5</v>
      </c>
      <c r="H100" s="31">
        <v>5.1898000000000005E-4</v>
      </c>
      <c r="I100" s="31">
        <v>3.4100000000000002E-5</v>
      </c>
      <c r="J100" s="33">
        <v>25.06</v>
      </c>
      <c r="K100" s="19">
        <f t="shared" si="47"/>
        <v>5.2769999999999998E-5</v>
      </c>
      <c r="L100" s="33">
        <v>973.50900000000001</v>
      </c>
      <c r="M100" s="33">
        <v>0.14810000000000001</v>
      </c>
      <c r="N100" s="33">
        <v>1017.59</v>
      </c>
      <c r="O100" s="33">
        <v>0.30840000000000001</v>
      </c>
      <c r="P100" s="14">
        <f t="shared" si="48"/>
        <v>10.098199999999999</v>
      </c>
      <c r="Q100" s="14">
        <f t="shared" si="49"/>
        <v>2.9620000000000004E-2</v>
      </c>
      <c r="R100" s="14">
        <f t="shared" si="50"/>
        <v>-1.2819999999999938</v>
      </c>
      <c r="S100" s="14">
        <f t="shared" si="51"/>
        <v>6.1680000000000006E-2</v>
      </c>
      <c r="T100" s="33">
        <f>17.77*6.88</f>
        <v>122.2576</v>
      </c>
      <c r="U100" s="33">
        <v>1.3619999999999999E-3</v>
      </c>
      <c r="V100" s="33">
        <v>0</v>
      </c>
      <c r="W100" s="33">
        <v>1.859E-3</v>
      </c>
      <c r="X100" s="33">
        <v>0</v>
      </c>
      <c r="Y100" s="33">
        <v>0</v>
      </c>
      <c r="Z100" s="33">
        <v>1.238E-3</v>
      </c>
      <c r="AA100" s="33">
        <v>136.48547400000001</v>
      </c>
      <c r="AB100" s="33">
        <v>114.496094</v>
      </c>
      <c r="AC100" s="33">
        <v>170.22406000000001</v>
      </c>
      <c r="AD100" s="9">
        <v>-1.437E-7</v>
      </c>
      <c r="AE100" s="9">
        <v>1.7589999999999999E-5</v>
      </c>
      <c r="AF100" s="9">
        <v>6.1291999999999995E-5</v>
      </c>
      <c r="AG100" s="9">
        <v>-7.0426999999999995E-5</v>
      </c>
      <c r="AI100" s="19"/>
    </row>
    <row r="101" spans="2:35" ht="14" x14ac:dyDescent="0.15">
      <c r="B101" s="15">
        <v>20000</v>
      </c>
      <c r="C101" s="19">
        <f>1000*F101</f>
        <v>0.43032999999999999</v>
      </c>
      <c r="D101" s="19">
        <f>1000*G101</f>
        <v>1.8600000000000002E-2</v>
      </c>
      <c r="E101" s="1" t="s">
        <v>30</v>
      </c>
      <c r="F101" s="31">
        <v>4.3032999999999998E-4</v>
      </c>
      <c r="G101" s="31">
        <v>1.8600000000000001E-5</v>
      </c>
      <c r="H101" s="31">
        <v>4.5195000000000001E-4</v>
      </c>
      <c r="I101" s="31">
        <v>3.3300000000000003E-5</v>
      </c>
      <c r="J101" s="33">
        <v>23.13</v>
      </c>
      <c r="K101" s="19">
        <f t="shared" si="47"/>
        <v>5.5949999999999998E-5</v>
      </c>
      <c r="L101" s="33">
        <v>973.56</v>
      </c>
      <c r="M101" s="33">
        <v>0.14530000000000001</v>
      </c>
      <c r="N101" s="33">
        <v>1017.559</v>
      </c>
      <c r="O101" s="33">
        <v>0.3024</v>
      </c>
      <c r="P101" s="14">
        <f t="shared" si="48"/>
        <v>10.088000000000012</v>
      </c>
      <c r="Q101" s="14">
        <f t="shared" si="49"/>
        <v>2.9060000000000002E-2</v>
      </c>
      <c r="R101" s="14">
        <f t="shared" si="50"/>
        <v>-1.2882000000000062</v>
      </c>
      <c r="S101" s="14">
        <f t="shared" si="51"/>
        <v>6.0480000000000006E-2</v>
      </c>
      <c r="T101" s="33">
        <f>16.87*6.47</f>
        <v>109.1489</v>
      </c>
      <c r="U101" s="33">
        <v>1.0189999999999999E-3</v>
      </c>
      <c r="V101" s="33">
        <v>0</v>
      </c>
      <c r="W101" s="33">
        <v>1.5349999999999999E-3</v>
      </c>
      <c r="X101" s="33">
        <v>0</v>
      </c>
      <c r="Y101" s="33">
        <v>0</v>
      </c>
      <c r="Z101" s="33">
        <v>1.0679999999999999E-3</v>
      </c>
      <c r="AA101" s="33">
        <v>122.180466</v>
      </c>
      <c r="AB101" s="33">
        <v>94.401122999999998</v>
      </c>
      <c r="AC101" s="33">
        <v>149.27384900000001</v>
      </c>
      <c r="AD101" s="9">
        <v>-1.178E-7</v>
      </c>
      <c r="AE101" s="9">
        <v>1.8649999999999999E-5</v>
      </c>
      <c r="AF101" s="9">
        <v>6.9740999999999995E-5</v>
      </c>
      <c r="AG101" s="9">
        <v>-7.0277000000000005E-5</v>
      </c>
      <c r="AI101" s="19"/>
    </row>
    <row r="102" spans="2:35" ht="14" x14ac:dyDescent="0.15">
      <c r="B102" s="15">
        <v>25000</v>
      </c>
      <c r="C102" s="19">
        <f t="shared" ref="C102:C116" si="52">1000*F102</f>
        <v>0.39061000000000001</v>
      </c>
      <c r="D102" s="19">
        <f t="shared" ref="D102:D116" si="53">1000*G102</f>
        <v>1.9300000000000001E-2</v>
      </c>
      <c r="E102" s="1" t="s">
        <v>30</v>
      </c>
      <c r="F102" s="31">
        <v>3.9061E-4</v>
      </c>
      <c r="G102" s="31">
        <v>1.9300000000000002E-5</v>
      </c>
      <c r="H102" s="31">
        <v>3.4368000000000002E-4</v>
      </c>
      <c r="I102" s="31">
        <v>3.0700000000000001E-5</v>
      </c>
      <c r="J102" s="33">
        <v>20.27</v>
      </c>
      <c r="K102" s="19">
        <f t="shared" si="47"/>
        <v>5.9729999999999999E-5</v>
      </c>
      <c r="L102" s="33">
        <v>973.77</v>
      </c>
      <c r="M102" s="33">
        <v>0.1459</v>
      </c>
      <c r="N102" s="33">
        <v>1018.251</v>
      </c>
      <c r="O102" s="33">
        <v>0.30909999999999999</v>
      </c>
      <c r="P102" s="14">
        <f t="shared" si="48"/>
        <v>10.046000000000005</v>
      </c>
      <c r="Q102" s="14">
        <f t="shared" si="49"/>
        <v>2.9180000000000001E-2</v>
      </c>
      <c r="R102" s="14">
        <f t="shared" si="50"/>
        <v>-1.1498000000000048</v>
      </c>
      <c r="S102" s="14">
        <f t="shared" si="51"/>
        <v>6.182E-2</v>
      </c>
      <c r="T102" s="33">
        <f>16.02*6.07</f>
        <v>97.241399999999999</v>
      </c>
      <c r="U102" s="33">
        <v>6.6299999999999996E-4</v>
      </c>
      <c r="V102" s="33">
        <v>0</v>
      </c>
      <c r="W102" s="33">
        <v>9.1600000000000004E-4</v>
      </c>
      <c r="X102" s="33">
        <v>0</v>
      </c>
      <c r="Y102" s="33">
        <v>0</v>
      </c>
      <c r="Z102" s="33">
        <v>1.2290000000000001E-3</v>
      </c>
      <c r="AA102" s="33">
        <v>21.877465999999998</v>
      </c>
      <c r="AB102" s="33">
        <v>176.48461900000001</v>
      </c>
      <c r="AC102" s="33">
        <v>43.754871000000001</v>
      </c>
      <c r="AD102" s="9">
        <v>-7.3020000000000001E-8</v>
      </c>
      <c r="AE102" s="9">
        <v>1.9910000000000001E-5</v>
      </c>
      <c r="AF102" s="9">
        <v>6.7302E-5</v>
      </c>
      <c r="AG102" s="9">
        <v>-7.6286999999999997E-5</v>
      </c>
      <c r="AI102" s="19"/>
    </row>
    <row r="103" spans="2:35" ht="14" x14ac:dyDescent="0.15">
      <c r="B103" s="15">
        <v>30000</v>
      </c>
      <c r="C103" s="19">
        <f t="shared" si="52"/>
        <v>0.41095999999999999</v>
      </c>
      <c r="D103" s="19">
        <f t="shared" si="53"/>
        <v>2.0500000000000001E-2</v>
      </c>
      <c r="E103" s="1" t="s">
        <v>30</v>
      </c>
      <c r="F103" s="31">
        <v>4.1095999999999998E-4</v>
      </c>
      <c r="G103" s="31">
        <v>2.05E-5</v>
      </c>
      <c r="H103" s="31">
        <v>3.9720000000000001E-4</v>
      </c>
      <c r="I103" s="31">
        <v>3.4799999999999999E-5</v>
      </c>
      <c r="J103" s="33">
        <v>20</v>
      </c>
      <c r="K103" s="19">
        <f t="shared" si="47"/>
        <v>6.1890000000000005E-5</v>
      </c>
      <c r="L103" s="33">
        <v>973.875</v>
      </c>
      <c r="M103" s="33">
        <v>0.14560000000000001</v>
      </c>
      <c r="N103" s="33">
        <v>1018.1319999999999</v>
      </c>
      <c r="O103" s="33">
        <v>0.32250000000000001</v>
      </c>
      <c r="P103" s="14">
        <f t="shared" si="48"/>
        <v>10.025</v>
      </c>
      <c r="Q103" s="14">
        <f t="shared" si="49"/>
        <v>2.9120000000000004E-2</v>
      </c>
      <c r="R103" s="14">
        <f t="shared" si="50"/>
        <v>-1.1736000000000104</v>
      </c>
      <c r="S103" s="14">
        <f t="shared" si="51"/>
        <v>6.4500000000000002E-2</v>
      </c>
      <c r="T103" s="33">
        <f>15.9*5.55</f>
        <v>88.245000000000005</v>
      </c>
      <c r="U103" s="33">
        <v>8.4999999999999995E-4</v>
      </c>
      <c r="V103" s="33">
        <v>0</v>
      </c>
      <c r="W103" s="33">
        <v>1.402E-3</v>
      </c>
      <c r="X103" s="33">
        <v>0</v>
      </c>
      <c r="Y103" s="33">
        <v>0</v>
      </c>
      <c r="Z103" s="33">
        <v>8.9599999999999999E-4</v>
      </c>
      <c r="AA103" s="33">
        <v>119.291428</v>
      </c>
      <c r="AB103" s="33">
        <v>91.208374000000006</v>
      </c>
      <c r="AC103" s="33">
        <v>148.584045</v>
      </c>
      <c r="AD103" s="9">
        <v>-5.7989999999999998E-8</v>
      </c>
      <c r="AE103" s="9">
        <v>2.0630000000000001E-5</v>
      </c>
      <c r="AF103" s="9">
        <v>8.1853000000000004E-5</v>
      </c>
      <c r="AG103" s="9">
        <v>-7.5971999999999997E-5</v>
      </c>
      <c r="AI103" s="19"/>
    </row>
    <row r="104" spans="2:35" ht="14" x14ac:dyDescent="0.15">
      <c r="B104" s="15">
        <v>35000</v>
      </c>
      <c r="C104" s="19">
        <f t="shared" si="52"/>
        <v>0.40495999999999999</v>
      </c>
      <c r="D104" s="19">
        <f t="shared" si="53"/>
        <v>2.0799999999999999E-2</v>
      </c>
      <c r="E104" s="1" t="s">
        <v>30</v>
      </c>
      <c r="F104" s="31">
        <v>4.0496E-4</v>
      </c>
      <c r="G104" s="31">
        <v>2.0800000000000001E-5</v>
      </c>
      <c r="H104" s="31">
        <v>3.8697999999999998E-4</v>
      </c>
      <c r="I104" s="31">
        <v>3.4900000000000001E-5</v>
      </c>
      <c r="J104" s="33">
        <v>19.5</v>
      </c>
      <c r="K104" s="19">
        <f t="shared" si="47"/>
        <v>6.2130000000000003E-5</v>
      </c>
      <c r="L104" s="33">
        <v>973.87099999999998</v>
      </c>
      <c r="M104" s="33">
        <v>0.13950000000000001</v>
      </c>
      <c r="N104" s="33">
        <v>1018.035</v>
      </c>
      <c r="O104" s="33">
        <v>0.33539999999999998</v>
      </c>
      <c r="P104" s="14">
        <f t="shared" si="48"/>
        <v>10.025800000000004</v>
      </c>
      <c r="Q104" s="14">
        <f t="shared" si="49"/>
        <v>2.7900000000000005E-2</v>
      </c>
      <c r="R104" s="14">
        <f t="shared" si="50"/>
        <v>-1.1930000000000065</v>
      </c>
      <c r="S104" s="14">
        <f t="shared" si="51"/>
        <v>6.7080000000000001E-2</v>
      </c>
      <c r="T104" s="33">
        <f>15.7*5.42</f>
        <v>85.093999999999994</v>
      </c>
      <c r="U104" s="33">
        <v>8.1800000000000004E-4</v>
      </c>
      <c r="V104" s="33">
        <v>0</v>
      </c>
      <c r="W104" s="33">
        <v>1.4350000000000001E-3</v>
      </c>
      <c r="X104" s="33">
        <v>0</v>
      </c>
      <c r="Y104" s="33">
        <v>0</v>
      </c>
      <c r="Z104" s="33">
        <v>6.7699999999999998E-4</v>
      </c>
      <c r="AA104" s="33">
        <v>130.12875399999999</v>
      </c>
      <c r="AB104" s="33">
        <v>101.70764200000001</v>
      </c>
      <c r="AC104" s="33">
        <v>170.25663800000001</v>
      </c>
      <c r="AD104" s="9">
        <v>-4.7589999999999998E-8</v>
      </c>
      <c r="AE104" s="9">
        <v>2.071E-5</v>
      </c>
      <c r="AF104" s="9">
        <v>8.8832999999999995E-5</v>
      </c>
      <c r="AG104" s="9">
        <v>-7.7383000000000001E-5</v>
      </c>
      <c r="AI104" s="19"/>
    </row>
    <row r="105" spans="2:35" ht="14" x14ac:dyDescent="0.15">
      <c r="B105" s="15">
        <v>40000</v>
      </c>
      <c r="C105" s="19">
        <f t="shared" si="52"/>
        <v>0.38236999999999999</v>
      </c>
      <c r="D105" s="19">
        <f t="shared" si="53"/>
        <v>2.2099999999999998E-2</v>
      </c>
      <c r="E105" s="1" t="s">
        <v>30</v>
      </c>
      <c r="F105" s="31">
        <v>3.8236999999999999E-4</v>
      </c>
      <c r="G105" s="31">
        <v>2.2099999999999998E-5</v>
      </c>
      <c r="H105" s="31">
        <v>3.5951000000000001E-4</v>
      </c>
      <c r="I105" s="31">
        <v>3.68E-5</v>
      </c>
      <c r="J105" s="33">
        <v>17.27</v>
      </c>
      <c r="K105" s="19">
        <f t="shared" si="47"/>
        <v>6.6990000000000007E-5</v>
      </c>
      <c r="L105" s="33">
        <v>973.86199999999997</v>
      </c>
      <c r="M105" s="33">
        <v>0.15359999999999999</v>
      </c>
      <c r="N105" s="33">
        <v>1018.0890000000001</v>
      </c>
      <c r="O105" s="33">
        <v>0.3856</v>
      </c>
      <c r="P105" s="14">
        <f t="shared" si="48"/>
        <v>10.027600000000007</v>
      </c>
      <c r="Q105" s="14">
        <f t="shared" si="49"/>
        <v>3.0719999999999997E-2</v>
      </c>
      <c r="R105" s="14">
        <f t="shared" si="50"/>
        <v>-1.182199999999989</v>
      </c>
      <c r="S105" s="14">
        <f t="shared" si="51"/>
        <v>7.7120000000000008E-2</v>
      </c>
      <c r="T105" s="33">
        <f>15.85*4.99</f>
        <v>79.091499999999996</v>
      </c>
      <c r="U105" s="33">
        <v>9.3999999999999997E-4</v>
      </c>
      <c r="V105" s="33">
        <v>0</v>
      </c>
      <c r="W105" s="33">
        <v>1.596E-3</v>
      </c>
      <c r="X105" s="33">
        <v>0</v>
      </c>
      <c r="Y105" s="33">
        <v>0</v>
      </c>
      <c r="Z105" s="33">
        <v>6.7500000000000004E-4</v>
      </c>
      <c r="AA105" s="33">
        <v>135.272491</v>
      </c>
      <c r="AB105" s="33">
        <v>90.543944999999994</v>
      </c>
      <c r="AC105" s="33">
        <v>178.40147400000001</v>
      </c>
      <c r="AD105" s="9">
        <v>-6.3920000000000006E-8</v>
      </c>
      <c r="AE105" s="9">
        <v>2.2330000000000001E-5</v>
      </c>
      <c r="AF105" s="9">
        <v>8.3046000000000004E-5</v>
      </c>
      <c r="AG105" s="9">
        <v>-8.7037E-5</v>
      </c>
      <c r="AI105" s="19"/>
    </row>
    <row r="106" spans="2:35" ht="14" x14ac:dyDescent="0.15">
      <c r="B106" s="15">
        <v>45000</v>
      </c>
      <c r="C106" s="19">
        <f t="shared" si="52"/>
        <v>0.37542999999999999</v>
      </c>
      <c r="D106" s="19">
        <f t="shared" si="53"/>
        <v>2.3300000000000001E-2</v>
      </c>
      <c r="E106" s="1" t="s">
        <v>30</v>
      </c>
      <c r="F106" s="31">
        <v>3.7543E-4</v>
      </c>
      <c r="G106" s="31">
        <v>2.3300000000000001E-5</v>
      </c>
      <c r="H106" s="31">
        <v>3.5170999999999998E-4</v>
      </c>
      <c r="I106" s="31">
        <v>3.8699999999999999E-5</v>
      </c>
      <c r="J106" s="33">
        <v>16.079999999999998</v>
      </c>
      <c r="K106" s="19">
        <f t="shared" si="47"/>
        <v>7.094999999999999E-5</v>
      </c>
      <c r="L106" s="33">
        <v>973.89200000000005</v>
      </c>
      <c r="M106" s="33">
        <v>0.1535</v>
      </c>
      <c r="N106" s="33">
        <v>1018.19</v>
      </c>
      <c r="O106" s="33">
        <v>0.43219999999999997</v>
      </c>
      <c r="P106" s="14">
        <f t="shared" si="48"/>
        <v>10.021599999999991</v>
      </c>
      <c r="Q106" s="14">
        <f t="shared" si="49"/>
        <v>3.0700000000000002E-2</v>
      </c>
      <c r="R106" s="14">
        <f t="shared" si="50"/>
        <v>-1.161999999999989</v>
      </c>
      <c r="S106" s="14">
        <f t="shared" si="51"/>
        <v>8.6440000000000003E-2</v>
      </c>
      <c r="T106" s="33">
        <f>16.66*4.72</f>
        <v>78.635199999999998</v>
      </c>
      <c r="U106" s="33">
        <v>6.6299999999999996E-4</v>
      </c>
      <c r="V106" s="33">
        <v>0</v>
      </c>
      <c r="W106" s="33">
        <v>1.5319999999999999E-3</v>
      </c>
      <c r="X106" s="33">
        <v>0</v>
      </c>
      <c r="Y106" s="33">
        <v>0</v>
      </c>
      <c r="Z106" s="33">
        <v>4.7899999999999999E-4</v>
      </c>
      <c r="AA106" s="33">
        <v>134.462738</v>
      </c>
      <c r="AB106" s="33">
        <v>89.990356000000006</v>
      </c>
      <c r="AC106" s="33">
        <v>178.923981</v>
      </c>
      <c r="AD106" s="9">
        <v>-1.194E-7</v>
      </c>
      <c r="AE106" s="9">
        <v>2.3649999999999999E-5</v>
      </c>
      <c r="AF106" s="9">
        <v>8.4251000000000004E-5</v>
      </c>
      <c r="AG106" s="9">
        <v>-8.7731000000000004E-5</v>
      </c>
      <c r="AI106" s="19"/>
    </row>
    <row r="107" spans="2:35" ht="14" x14ac:dyDescent="0.15">
      <c r="B107" s="15">
        <v>50000</v>
      </c>
      <c r="C107" s="19">
        <f t="shared" si="52"/>
        <v>0.39047000000000004</v>
      </c>
      <c r="D107" s="19">
        <f t="shared" si="53"/>
        <v>2.4899999999999999E-2</v>
      </c>
      <c r="E107" s="1" t="s">
        <v>30</v>
      </c>
      <c r="F107" s="31">
        <v>3.9047000000000002E-4</v>
      </c>
      <c r="G107" s="31">
        <v>2.4899999999999999E-5</v>
      </c>
      <c r="H107" s="31">
        <v>3.7626000000000001E-4</v>
      </c>
      <c r="I107" s="31">
        <v>4.21E-5</v>
      </c>
      <c r="J107" s="33">
        <v>15.68</v>
      </c>
      <c r="K107" s="19">
        <f>3*AE107</f>
        <v>7.7340000000000002E-5</v>
      </c>
      <c r="L107" s="33">
        <v>973.83600000000001</v>
      </c>
      <c r="M107" s="33">
        <v>0.14749999999999999</v>
      </c>
      <c r="N107" s="33">
        <v>1017.388</v>
      </c>
      <c r="O107" s="33">
        <v>0.435</v>
      </c>
      <c r="P107" s="14">
        <f t="shared" si="48"/>
        <v>10.032799999999998</v>
      </c>
      <c r="Q107" s="14">
        <f t="shared" si="49"/>
        <v>2.9499999999999998E-2</v>
      </c>
      <c r="R107" s="14">
        <f t="shared" si="50"/>
        <v>-1.3223999999999934</v>
      </c>
      <c r="S107" s="14">
        <f t="shared" si="51"/>
        <v>8.7000000000000008E-2</v>
      </c>
      <c r="T107" s="33">
        <f>15.9*4.5</f>
        <v>71.55</v>
      </c>
      <c r="U107" s="33">
        <v>8.6499999999999999E-4</v>
      </c>
      <c r="V107" s="33">
        <v>0</v>
      </c>
      <c r="W107" s="33">
        <v>1.6379999999999999E-3</v>
      </c>
      <c r="X107" s="33">
        <v>0</v>
      </c>
      <c r="Y107" s="33">
        <v>0</v>
      </c>
      <c r="Z107" s="33">
        <v>9.7E-5</v>
      </c>
      <c r="AA107" s="33">
        <v>154.72605899999999</v>
      </c>
      <c r="AB107" s="33">
        <v>119.523438</v>
      </c>
      <c r="AC107" s="33">
        <v>170.40690599999999</v>
      </c>
      <c r="AD107" s="9">
        <v>5.1480000000000002E-8</v>
      </c>
      <c r="AE107" s="9">
        <v>2.5780000000000001E-5</v>
      </c>
      <c r="AF107" s="9">
        <v>9.1330999999999997E-5</v>
      </c>
      <c r="AG107" s="9">
        <v>-9.9765000000000005E-5</v>
      </c>
      <c r="AI107" s="19"/>
    </row>
    <row r="108" spans="2:35" x14ac:dyDescent="0.15">
      <c r="B108" s="15">
        <v>55000</v>
      </c>
      <c r="C108" s="19">
        <f t="shared" si="52"/>
        <v>0.35759000000000002</v>
      </c>
      <c r="D108" s="19">
        <f t="shared" si="53"/>
        <v>2.6699999999999998E-2</v>
      </c>
      <c r="E108" s="1" t="s">
        <v>30</v>
      </c>
      <c r="F108" s="31">
        <v>3.5759000000000002E-4</v>
      </c>
      <c r="G108" s="31">
        <v>2.6699999999999998E-5</v>
      </c>
      <c r="H108" s="31">
        <v>3.2367000000000002E-4</v>
      </c>
      <c r="I108" s="31">
        <v>4.3300000000000002E-5</v>
      </c>
      <c r="J108" s="33">
        <v>13.39</v>
      </c>
      <c r="K108" s="19">
        <f t="shared" ref="K108:K117" si="54">3*AE108</f>
        <v>8.3849999999999992E-5</v>
      </c>
      <c r="L108" s="33">
        <v>973.92899999999997</v>
      </c>
      <c r="M108" s="33">
        <v>0.16139999999999999</v>
      </c>
      <c r="N108" s="33">
        <v>1017.3819999999999</v>
      </c>
      <c r="O108" s="33">
        <v>0.47810000000000002</v>
      </c>
      <c r="P108" s="14">
        <f t="shared" si="48"/>
        <v>10.014200000000006</v>
      </c>
      <c r="Q108" s="14">
        <f t="shared" si="49"/>
        <v>3.2279999999999996E-2</v>
      </c>
      <c r="R108" s="14">
        <f t="shared" si="50"/>
        <v>-1.3236000000000105</v>
      </c>
      <c r="S108" s="14">
        <f t="shared" si="51"/>
        <v>9.5620000000000011E-2</v>
      </c>
      <c r="T108" s="33">
        <f>15.73*4.36</f>
        <v>68.582800000000006</v>
      </c>
      <c r="U108" s="33">
        <v>0</v>
      </c>
      <c r="V108" s="33">
        <v>0</v>
      </c>
      <c r="W108" s="33">
        <v>1.2849999999999999E-3</v>
      </c>
      <c r="X108" s="33">
        <v>0</v>
      </c>
      <c r="Y108" s="33">
        <v>0</v>
      </c>
      <c r="Z108" s="33">
        <v>1.27E-4</v>
      </c>
      <c r="AA108" s="33">
        <v>0</v>
      </c>
      <c r="AB108" s="33">
        <v>0</v>
      </c>
      <c r="AC108" s="33">
        <v>179.78663599999999</v>
      </c>
      <c r="AD108" s="31">
        <v>9.9919999999999997E-8</v>
      </c>
      <c r="AE108" s="31">
        <v>2.7949999999999998E-5</v>
      </c>
      <c r="AF108" s="31">
        <v>1.0964E-4</v>
      </c>
      <c r="AG108" s="31">
        <v>-1.0297E-4</v>
      </c>
      <c r="AI108" s="19"/>
    </row>
    <row r="109" spans="2:35" x14ac:dyDescent="0.15">
      <c r="B109" s="15">
        <v>60000</v>
      </c>
      <c r="C109" s="19">
        <f t="shared" si="52"/>
        <v>0.38152999999999998</v>
      </c>
      <c r="D109" s="19">
        <f t="shared" si="53"/>
        <v>2.76E-2</v>
      </c>
      <c r="E109" s="1" t="s">
        <v>30</v>
      </c>
      <c r="F109" s="31">
        <v>3.8152999999999999E-4</v>
      </c>
      <c r="G109" s="31">
        <v>2.76E-5</v>
      </c>
      <c r="H109" s="31">
        <v>3.4923000000000002E-4</v>
      </c>
      <c r="I109" s="31">
        <v>4.5099999999999998E-5</v>
      </c>
      <c r="J109" s="33">
        <v>13.83</v>
      </c>
      <c r="K109" s="19">
        <f t="shared" si="54"/>
        <v>7.8899999999999993E-5</v>
      </c>
      <c r="L109" s="33">
        <v>973.75900000000001</v>
      </c>
      <c r="M109" s="33">
        <v>0.15529999999999999</v>
      </c>
      <c r="N109" s="33">
        <v>1016.6950000000001</v>
      </c>
      <c r="O109" s="33">
        <v>0.45679999999999998</v>
      </c>
      <c r="P109" s="14">
        <f t="shared" si="48"/>
        <v>10.048199999999998</v>
      </c>
      <c r="Q109" s="14">
        <f t="shared" si="49"/>
        <v>3.1060000000000001E-2</v>
      </c>
      <c r="R109" s="14">
        <f t="shared" si="50"/>
        <v>-1.4609999999999901</v>
      </c>
      <c r="S109" s="14">
        <f t="shared" si="51"/>
        <v>9.1359999999999997E-2</v>
      </c>
      <c r="T109" s="33">
        <f>15.39*4.19</f>
        <v>64.484100000000012</v>
      </c>
      <c r="U109" s="33">
        <v>0</v>
      </c>
      <c r="V109" s="33">
        <v>0</v>
      </c>
      <c r="W109" s="33">
        <v>1.3159999999999999E-3</v>
      </c>
      <c r="X109" s="33">
        <v>0</v>
      </c>
      <c r="Y109" s="33">
        <v>0</v>
      </c>
      <c r="Z109" s="33">
        <v>1.17E-4</v>
      </c>
      <c r="AA109" s="33">
        <v>0</v>
      </c>
      <c r="AB109" s="33">
        <v>0</v>
      </c>
      <c r="AC109" s="33">
        <v>178.001892</v>
      </c>
      <c r="AD109" s="31">
        <v>-1.5980000000000001E-8</v>
      </c>
      <c r="AE109" s="31">
        <v>2.6299999999999999E-5</v>
      </c>
      <c r="AF109" s="31">
        <v>9.3451999999999999E-5</v>
      </c>
      <c r="AG109" s="31">
        <v>-9.7411000000000006E-5</v>
      </c>
      <c r="AI109" s="19"/>
    </row>
    <row r="110" spans="2:35" x14ac:dyDescent="0.15">
      <c r="B110" s="15">
        <v>65000</v>
      </c>
      <c r="C110" s="19">
        <f t="shared" si="52"/>
        <v>0.37128</v>
      </c>
      <c r="D110" s="19">
        <f t="shared" si="53"/>
        <v>2.9600000000000001E-2</v>
      </c>
      <c r="E110" s="1" t="s">
        <v>30</v>
      </c>
      <c r="F110" s="31">
        <v>3.7127999999999998E-4</v>
      </c>
      <c r="G110" s="31">
        <v>2.9600000000000001E-5</v>
      </c>
      <c r="H110" s="31">
        <v>3.4078E-4</v>
      </c>
      <c r="I110" s="31">
        <v>4.85E-5</v>
      </c>
      <c r="J110" s="33">
        <v>12.53</v>
      </c>
      <c r="K110" s="19">
        <f t="shared" si="54"/>
        <v>8.3250000000000004E-5</v>
      </c>
      <c r="L110" s="33">
        <v>973.73099999999999</v>
      </c>
      <c r="M110" s="33">
        <v>0.1653</v>
      </c>
      <c r="N110" s="33">
        <v>1016.506</v>
      </c>
      <c r="O110" s="33">
        <v>0.48449999999999999</v>
      </c>
      <c r="P110" s="14">
        <f t="shared" si="48"/>
        <v>10.053800000000003</v>
      </c>
      <c r="Q110" s="14">
        <f t="shared" si="49"/>
        <v>3.3059999999999999E-2</v>
      </c>
      <c r="R110" s="14">
        <f t="shared" si="50"/>
        <v>-1.4988000000000057</v>
      </c>
      <c r="S110" s="14">
        <f t="shared" si="51"/>
        <v>9.69E-2</v>
      </c>
      <c r="T110" s="33">
        <f>14.61*4.09</f>
        <v>59.754899999999992</v>
      </c>
      <c r="U110" s="33">
        <v>1.45E-4</v>
      </c>
      <c r="V110" s="33">
        <v>0</v>
      </c>
      <c r="W110" s="33">
        <v>1.3990000000000001E-3</v>
      </c>
      <c r="X110" s="33">
        <v>0</v>
      </c>
      <c r="Y110" s="33">
        <v>0</v>
      </c>
      <c r="Z110" s="33">
        <v>5.7300000000000005E-4</v>
      </c>
      <c r="AA110" s="33">
        <v>170.41262800000001</v>
      </c>
      <c r="AB110" s="33">
        <v>127.666504</v>
      </c>
      <c r="AC110" s="33">
        <v>33.991836999999997</v>
      </c>
      <c r="AD110" s="31">
        <v>-3.5999999999999998E-8</v>
      </c>
      <c r="AE110" s="31">
        <v>2.775E-5</v>
      </c>
      <c r="AF110" s="31">
        <v>9.8958999999999999E-5</v>
      </c>
      <c r="AG110" s="31">
        <v>-9.2904000000000004E-5</v>
      </c>
      <c r="AI110" s="19"/>
    </row>
    <row r="111" spans="2:35" x14ac:dyDescent="0.15">
      <c r="B111" s="15">
        <v>70000</v>
      </c>
      <c r="C111" s="19">
        <f t="shared" si="52"/>
        <v>0.39348999999999995</v>
      </c>
      <c r="D111" s="19">
        <f t="shared" si="53"/>
        <v>3.1300000000000001E-2</v>
      </c>
      <c r="E111" s="1" t="s">
        <v>30</v>
      </c>
      <c r="F111" s="31">
        <v>3.9348999999999997E-4</v>
      </c>
      <c r="G111" s="31">
        <v>3.1300000000000002E-5</v>
      </c>
      <c r="H111" s="31">
        <v>3.9093E-4</v>
      </c>
      <c r="I111" s="31">
        <v>5.41E-5</v>
      </c>
      <c r="J111" s="33">
        <v>12.55</v>
      </c>
      <c r="K111" s="19">
        <f t="shared" si="54"/>
        <v>9.4380000000000001E-5</v>
      </c>
      <c r="L111" s="33">
        <v>973.57799999999997</v>
      </c>
      <c r="M111" s="33">
        <v>0.1716</v>
      </c>
      <c r="N111" s="33">
        <v>1016.1609999999999</v>
      </c>
      <c r="O111" s="33">
        <v>0.51039999999999996</v>
      </c>
      <c r="P111" s="14">
        <f t="shared" si="48"/>
        <v>10.084400000000006</v>
      </c>
      <c r="Q111" s="14">
        <f t="shared" si="49"/>
        <v>3.4320000000000003E-2</v>
      </c>
      <c r="R111" s="14">
        <f t="shared" si="50"/>
        <v>-1.5678000000000112</v>
      </c>
      <c r="S111" s="14">
        <f t="shared" si="51"/>
        <v>0.10208</v>
      </c>
      <c r="T111" s="33">
        <f>14.83*3.87</f>
        <v>57.392099999999999</v>
      </c>
      <c r="U111" s="33">
        <v>8.9400000000000005E-4</v>
      </c>
      <c r="V111" s="33">
        <v>0</v>
      </c>
      <c r="W111" s="33">
        <v>1.714E-3</v>
      </c>
      <c r="X111" s="33">
        <v>0</v>
      </c>
      <c r="Y111" s="33">
        <v>0</v>
      </c>
      <c r="Z111" s="33">
        <v>2.4699999999999999E-4</v>
      </c>
      <c r="AA111" s="33">
        <v>165.25402800000001</v>
      </c>
      <c r="AB111" s="33">
        <v>143.45214799999999</v>
      </c>
      <c r="AC111" s="33">
        <v>6.1228639999999999</v>
      </c>
      <c r="AD111" s="31">
        <v>6.1029999999999998E-8</v>
      </c>
      <c r="AE111" s="31">
        <v>3.146E-5</v>
      </c>
      <c r="AF111" s="31">
        <v>1.1107000000000001E-4</v>
      </c>
      <c r="AG111" s="31">
        <v>-1.0917E-4</v>
      </c>
      <c r="AI111" s="19"/>
    </row>
    <row r="112" spans="2:35" x14ac:dyDescent="0.15">
      <c r="B112" s="15">
        <v>75000</v>
      </c>
      <c r="C112" s="19">
        <f t="shared" si="52"/>
        <v>0.38728000000000001</v>
      </c>
      <c r="D112" s="19">
        <f t="shared" si="53"/>
        <v>3.4799999999999998E-2</v>
      </c>
      <c r="E112" s="1" t="s">
        <v>30</v>
      </c>
      <c r="F112" s="31">
        <v>3.8727999999999999E-4</v>
      </c>
      <c r="G112" s="31">
        <v>3.4799999999999999E-5</v>
      </c>
      <c r="H112" s="31">
        <v>3.7588999999999998E-4</v>
      </c>
      <c r="I112" s="31">
        <v>5.91E-5</v>
      </c>
      <c r="J112" s="33">
        <v>11.12</v>
      </c>
      <c r="K112" s="19">
        <f t="shared" si="54"/>
        <v>1.0509000000000001E-4</v>
      </c>
      <c r="L112" s="33">
        <v>973.78599999999994</v>
      </c>
      <c r="M112" s="33">
        <v>0.18490000000000001</v>
      </c>
      <c r="N112" s="33">
        <v>1016.865</v>
      </c>
      <c r="O112" s="33">
        <v>0.55820000000000003</v>
      </c>
      <c r="P112" s="14">
        <f t="shared" si="48"/>
        <v>10.042800000000012</v>
      </c>
      <c r="Q112" s="14">
        <f t="shared" si="49"/>
        <v>3.6980000000000006E-2</v>
      </c>
      <c r="R112" s="14">
        <f t="shared" si="50"/>
        <v>-1.4269999999999983</v>
      </c>
      <c r="S112" s="14">
        <f t="shared" si="51"/>
        <v>0.11164000000000002</v>
      </c>
      <c r="T112" s="33">
        <f>15.12*3.7</f>
        <v>55.944000000000003</v>
      </c>
      <c r="U112" s="33">
        <v>0</v>
      </c>
      <c r="V112" s="33">
        <v>0</v>
      </c>
      <c r="W112" s="33">
        <v>1.462E-3</v>
      </c>
      <c r="X112" s="33">
        <v>0</v>
      </c>
      <c r="Y112" s="33">
        <v>0</v>
      </c>
      <c r="Z112" s="33">
        <v>3.28E-4</v>
      </c>
      <c r="AA112" s="33">
        <v>0</v>
      </c>
      <c r="AB112" s="33">
        <v>0</v>
      </c>
      <c r="AC112" s="33">
        <v>179.14274599999999</v>
      </c>
      <c r="AD112" s="31">
        <v>-5.4739999999999999E-8</v>
      </c>
      <c r="AE112" s="31">
        <v>3.5030000000000002E-5</v>
      </c>
      <c r="AF112" s="31">
        <v>1.2141E-4</v>
      </c>
      <c r="AG112" s="31">
        <v>-1.1480999999999999E-4</v>
      </c>
      <c r="AI112" s="19"/>
    </row>
    <row r="113" spans="2:35" x14ac:dyDescent="0.15">
      <c r="B113" s="15">
        <v>80000</v>
      </c>
      <c r="C113" s="19">
        <f t="shared" si="52"/>
        <v>0.38383</v>
      </c>
      <c r="D113" s="19">
        <f t="shared" si="53"/>
        <v>3.8699999999999998E-2</v>
      </c>
      <c r="E113" s="1" t="s">
        <v>30</v>
      </c>
      <c r="F113" s="31">
        <v>3.8382999999999999E-4</v>
      </c>
      <c r="G113" s="31">
        <v>3.8699999999999999E-5</v>
      </c>
      <c r="H113" s="31">
        <v>3.5521000000000001E-4</v>
      </c>
      <c r="I113" s="31">
        <v>6.3600000000000001E-5</v>
      </c>
      <c r="J113" s="33">
        <v>9.93</v>
      </c>
      <c r="K113" s="19">
        <f t="shared" si="54"/>
        <v>1.2159000000000001E-4</v>
      </c>
      <c r="L113" s="33">
        <v>973.82899999999995</v>
      </c>
      <c r="M113" s="33">
        <v>0.18740000000000001</v>
      </c>
      <c r="N113" s="33">
        <v>1017.853</v>
      </c>
      <c r="O113" s="33">
        <v>0.54910000000000003</v>
      </c>
      <c r="P113" s="14">
        <f t="shared" si="48"/>
        <v>10.034200000000011</v>
      </c>
      <c r="Q113" s="14">
        <f t="shared" si="49"/>
        <v>3.7480000000000006E-2</v>
      </c>
      <c r="R113" s="14">
        <f t="shared" si="50"/>
        <v>-1.2294000000000098</v>
      </c>
      <c r="S113" s="14">
        <f t="shared" si="51"/>
        <v>0.10982000000000001</v>
      </c>
      <c r="T113" s="33">
        <f>13.71*3.46</f>
        <v>47.436600000000006</v>
      </c>
      <c r="U113" s="33">
        <v>0</v>
      </c>
      <c r="V113" s="33">
        <v>0</v>
      </c>
      <c r="W113" s="33">
        <v>1.206E-3</v>
      </c>
      <c r="X113" s="33">
        <v>0</v>
      </c>
      <c r="Y113" s="33">
        <v>0</v>
      </c>
      <c r="Z113" s="33">
        <v>2.9999999999999997E-4</v>
      </c>
      <c r="AA113" s="33">
        <v>0</v>
      </c>
      <c r="AB113" s="33">
        <v>0</v>
      </c>
      <c r="AC113" s="33">
        <v>173.655609</v>
      </c>
      <c r="AD113" s="31">
        <v>-2.2040000000000001E-8</v>
      </c>
      <c r="AE113" s="31">
        <v>4.053E-5</v>
      </c>
      <c r="AF113" s="31">
        <v>1.5752E-4</v>
      </c>
      <c r="AG113" s="31">
        <v>-1.4019E-4</v>
      </c>
      <c r="AI113" s="19"/>
    </row>
    <row r="114" spans="2:35" x14ac:dyDescent="0.15">
      <c r="B114" s="15">
        <v>85000</v>
      </c>
      <c r="C114" s="19">
        <f t="shared" si="52"/>
        <v>0.30878999999999995</v>
      </c>
      <c r="D114" s="19">
        <f t="shared" si="53"/>
        <v>4.4299999999999999E-2</v>
      </c>
      <c r="E114" s="1" t="s">
        <v>30</v>
      </c>
      <c r="F114" s="31">
        <v>3.0878999999999998E-4</v>
      </c>
      <c r="G114" s="31">
        <v>4.4299999999999999E-5</v>
      </c>
      <c r="H114" s="31">
        <v>2.6323999999999998E-4</v>
      </c>
      <c r="I114" s="31">
        <v>6.8999999999999997E-5</v>
      </c>
      <c r="J114" s="33">
        <v>6.98</v>
      </c>
      <c r="K114" s="19">
        <f t="shared" si="54"/>
        <v>1.3025999999999999E-4</v>
      </c>
      <c r="L114" s="33">
        <v>973.88400000000001</v>
      </c>
      <c r="M114" s="33">
        <v>0.23949999999999999</v>
      </c>
      <c r="N114" s="33">
        <v>1017.9349999999999</v>
      </c>
      <c r="O114" s="33">
        <v>0.68310000000000004</v>
      </c>
      <c r="P114" s="14">
        <f t="shared" si="48"/>
        <v>10.023199999999997</v>
      </c>
      <c r="Q114" s="14">
        <f t="shared" si="49"/>
        <v>4.7899999999999998E-2</v>
      </c>
      <c r="R114" s="14">
        <f t="shared" si="50"/>
        <v>-1.213000000000011</v>
      </c>
      <c r="S114" s="14">
        <f t="shared" si="51"/>
        <v>0.13662000000000002</v>
      </c>
      <c r="T114" s="33">
        <f>12.07*3.28</f>
        <v>39.589599999999997</v>
      </c>
      <c r="U114" s="33">
        <v>0</v>
      </c>
      <c r="V114" s="33">
        <v>0</v>
      </c>
      <c r="W114" s="33">
        <v>1.3339999999999999E-3</v>
      </c>
      <c r="X114" s="33">
        <v>0</v>
      </c>
      <c r="Y114" s="33">
        <v>0</v>
      </c>
      <c r="Z114" s="33">
        <v>2.2800000000000001E-4</v>
      </c>
      <c r="AA114" s="33">
        <v>0</v>
      </c>
      <c r="AB114" s="33">
        <v>0</v>
      </c>
      <c r="AC114" s="33">
        <v>172.21328700000001</v>
      </c>
      <c r="AD114" s="31">
        <v>2.5799999999999999E-10</v>
      </c>
      <c r="AE114" s="31">
        <v>4.3420000000000001E-5</v>
      </c>
      <c r="AF114" s="31">
        <v>1.517E-4</v>
      </c>
      <c r="AG114" s="31">
        <v>-1.4009E-4</v>
      </c>
      <c r="AI114" s="19"/>
    </row>
    <row r="115" spans="2:35" x14ac:dyDescent="0.15">
      <c r="B115" s="15">
        <v>90000</v>
      </c>
      <c r="C115" s="19">
        <f t="shared" si="52"/>
        <v>0.26833000000000001</v>
      </c>
      <c r="D115" s="19">
        <f t="shared" si="53"/>
        <v>4.7699999999999999E-2</v>
      </c>
      <c r="E115" s="1" t="s">
        <v>30</v>
      </c>
      <c r="F115" s="31">
        <v>2.6833E-4</v>
      </c>
      <c r="G115" s="31">
        <v>4.7700000000000001E-5</v>
      </c>
      <c r="H115" s="31">
        <v>2.3957000000000001E-4</v>
      </c>
      <c r="I115" s="31">
        <v>7.6699999999999994E-5</v>
      </c>
      <c r="J115" s="33">
        <v>5.62</v>
      </c>
      <c r="K115" s="19">
        <f t="shared" si="54"/>
        <v>1.4514000000000001E-4</v>
      </c>
      <c r="L115" s="33">
        <v>973.80399999999997</v>
      </c>
      <c r="M115" s="33">
        <v>0.35849999999999999</v>
      </c>
      <c r="N115" s="33">
        <v>1017.809</v>
      </c>
      <c r="O115" s="33">
        <v>0.99909999999999999</v>
      </c>
      <c r="P115" s="14">
        <f t="shared" si="48"/>
        <v>10.039200000000006</v>
      </c>
      <c r="Q115" s="14">
        <f t="shared" si="49"/>
        <v>7.17E-2</v>
      </c>
      <c r="R115" s="14">
        <f t="shared" si="50"/>
        <v>-1.2382000000000062</v>
      </c>
      <c r="S115" s="14">
        <f t="shared" si="51"/>
        <v>0.19982</v>
      </c>
      <c r="T115" s="33">
        <f>13.33*3.15</f>
        <v>41.9895</v>
      </c>
      <c r="U115" s="33">
        <v>7.2900000000000005E-4</v>
      </c>
      <c r="V115" s="33">
        <v>0</v>
      </c>
      <c r="W115" s="33">
        <v>2.1329999999999999E-3</v>
      </c>
      <c r="X115" s="33">
        <v>0</v>
      </c>
      <c r="Y115" s="33">
        <v>0</v>
      </c>
      <c r="Z115" s="33">
        <v>2.0799999999999999E-4</v>
      </c>
      <c r="AA115" s="33">
        <v>150.28417999999999</v>
      </c>
      <c r="AB115" s="33">
        <v>107.31958</v>
      </c>
      <c r="AC115" s="33">
        <v>173.74337800000001</v>
      </c>
      <c r="AD115" s="31">
        <v>2.5380000000000001E-9</v>
      </c>
      <c r="AE115" s="31">
        <v>4.8380000000000001E-5</v>
      </c>
      <c r="AF115" s="31">
        <v>1.8814E-4</v>
      </c>
      <c r="AG115" s="31">
        <v>-1.9647999999999999E-4</v>
      </c>
      <c r="AI115" s="19"/>
    </row>
    <row r="116" spans="2:35" x14ac:dyDescent="0.15">
      <c r="B116" s="15">
        <v>95000</v>
      </c>
      <c r="C116" s="19">
        <f t="shared" si="52"/>
        <v>0.25750000000000001</v>
      </c>
      <c r="D116" s="19">
        <f t="shared" si="53"/>
        <v>5.1199999999999996E-2</v>
      </c>
      <c r="E116" s="1" t="s">
        <v>30</v>
      </c>
      <c r="F116" s="31">
        <v>2.5750000000000002E-4</v>
      </c>
      <c r="G116" s="31">
        <v>5.1199999999999998E-5</v>
      </c>
      <c r="H116" s="31">
        <v>2.4273E-4</v>
      </c>
      <c r="I116" s="31">
        <v>8.5199999999999997E-5</v>
      </c>
      <c r="J116" s="33">
        <v>5.03</v>
      </c>
      <c r="K116" s="19">
        <f t="shared" si="54"/>
        <v>1.47E-4</v>
      </c>
      <c r="L116" s="33">
        <v>973.41700000000003</v>
      </c>
      <c r="M116" s="33">
        <v>0.47289999999999999</v>
      </c>
      <c r="N116" s="33">
        <v>1016.766</v>
      </c>
      <c r="O116" s="33">
        <v>1.3564000000000001</v>
      </c>
      <c r="P116" s="14">
        <f t="shared" si="48"/>
        <v>10.116599999999995</v>
      </c>
      <c r="Q116" s="14">
        <f t="shared" si="49"/>
        <v>9.4579999999999997E-2</v>
      </c>
      <c r="R116" s="14">
        <f t="shared" si="50"/>
        <v>-1.4468000000000076</v>
      </c>
      <c r="S116" s="14">
        <f t="shared" si="51"/>
        <v>0.27128000000000002</v>
      </c>
      <c r="T116" s="33">
        <f>16.03*3.04</f>
        <v>48.731200000000001</v>
      </c>
      <c r="U116" s="33">
        <v>1.008E-3</v>
      </c>
      <c r="V116" s="33">
        <v>0</v>
      </c>
      <c r="W116" s="33">
        <v>2.7750000000000001E-3</v>
      </c>
      <c r="X116" s="33">
        <v>0</v>
      </c>
      <c r="Y116" s="33">
        <v>0</v>
      </c>
      <c r="Z116" s="33">
        <v>3.21E-4</v>
      </c>
      <c r="AA116" s="33">
        <v>159.305634</v>
      </c>
      <c r="AB116" s="33">
        <v>128.25183100000001</v>
      </c>
      <c r="AC116" s="33">
        <v>5.9305570000000003</v>
      </c>
      <c r="AD116" s="31">
        <v>-1.473E-8</v>
      </c>
      <c r="AE116" s="31">
        <v>4.8999999999999998E-5</v>
      </c>
      <c r="AF116" s="31">
        <v>1.7123E-4</v>
      </c>
      <c r="AG116" s="31">
        <v>-1.6307E-4</v>
      </c>
      <c r="AI116" s="19"/>
    </row>
    <row r="117" spans="2:35" x14ac:dyDescent="0.15">
      <c r="B117" s="15">
        <v>100000</v>
      </c>
      <c r="C117" s="19">
        <f>1000*K117</f>
        <v>0.15681</v>
      </c>
      <c r="D117" s="14">
        <v>0</v>
      </c>
      <c r="E117" s="1" t="s">
        <v>40</v>
      </c>
      <c r="F117" s="31">
        <v>-3.3177E-4</v>
      </c>
      <c r="G117" s="31">
        <v>5.6400000000000002E-5</v>
      </c>
      <c r="H117" s="31">
        <v>-3.4099E-4</v>
      </c>
      <c r="I117" s="31">
        <v>9.9500000000000006E-5</v>
      </c>
      <c r="J117" s="33">
        <v>-5.88</v>
      </c>
      <c r="K117" s="19">
        <f t="shared" si="54"/>
        <v>1.5681000000000001E-4</v>
      </c>
      <c r="L117" s="33">
        <v>969.971</v>
      </c>
      <c r="M117" s="33">
        <v>0.37059999999999998</v>
      </c>
      <c r="N117" s="33">
        <v>1019.974</v>
      </c>
      <c r="O117" s="33">
        <v>1.1734</v>
      </c>
      <c r="P117" s="14">
        <f t="shared" si="48"/>
        <v>10.8058</v>
      </c>
      <c r="Q117" s="14">
        <f t="shared" si="49"/>
        <v>7.4120000000000005E-2</v>
      </c>
      <c r="R117" s="14">
        <f t="shared" si="50"/>
        <v>-0.80519999999999081</v>
      </c>
      <c r="S117" s="14">
        <f t="shared" si="51"/>
        <v>0.23468</v>
      </c>
      <c r="T117" s="33">
        <f>15.21*2.94</f>
        <v>44.717400000000005</v>
      </c>
      <c r="U117" s="33">
        <v>1.441E-3</v>
      </c>
      <c r="V117" s="33">
        <v>0</v>
      </c>
      <c r="W117" s="33">
        <v>2.774E-3</v>
      </c>
      <c r="X117" s="33">
        <v>0</v>
      </c>
      <c r="Y117" s="33">
        <v>0</v>
      </c>
      <c r="Z117" s="33">
        <v>3.1399999999999999E-4</v>
      </c>
      <c r="AA117" s="33">
        <v>165.73703</v>
      </c>
      <c r="AB117" s="33">
        <v>150.65356399999999</v>
      </c>
      <c r="AC117" s="33">
        <v>1.14978</v>
      </c>
      <c r="AD117" s="31">
        <v>1.46E-8</v>
      </c>
      <c r="AE117" s="31">
        <v>5.2269999999999999E-5</v>
      </c>
      <c r="AF117" s="31">
        <v>1.7466000000000001E-4</v>
      </c>
      <c r="AG117" s="31">
        <v>-1.5746E-4</v>
      </c>
      <c r="AI117" s="19"/>
    </row>
    <row r="118" spans="2:35" x14ac:dyDescent="0.15">
      <c r="B118" s="15"/>
      <c r="F118" s="20"/>
      <c r="G118" s="20"/>
      <c r="H118" s="20"/>
      <c r="I118" s="15"/>
    </row>
    <row r="119" spans="2:35" x14ac:dyDescent="0.15">
      <c r="F119" s="19"/>
      <c r="G119" s="19"/>
      <c r="H119" s="19"/>
      <c r="I119" s="19"/>
    </row>
    <row r="120" spans="2:35" x14ac:dyDescent="0.15">
      <c r="F120" s="19"/>
      <c r="G120" s="19"/>
      <c r="H120" s="19"/>
      <c r="I120" s="19"/>
    </row>
    <row r="121" spans="2:35" x14ac:dyDescent="0.15">
      <c r="E121" s="32"/>
    </row>
    <row r="122" spans="2:35" x14ac:dyDescent="0.15">
      <c r="E122" s="32"/>
    </row>
    <row r="123" spans="2:35" x14ac:dyDescent="0.15">
      <c r="E123" s="32"/>
    </row>
    <row r="124" spans="2:35" x14ac:dyDescent="0.15">
      <c r="E124" s="32"/>
    </row>
    <row r="125" spans="2:35" x14ac:dyDescent="0.15">
      <c r="E125" s="32"/>
    </row>
    <row r="126" spans="2:35" x14ac:dyDescent="0.15">
      <c r="E126" s="32"/>
    </row>
    <row r="127" spans="2:35" x14ac:dyDescent="0.15">
      <c r="E127" s="32"/>
    </row>
    <row r="128" spans="2:35" x14ac:dyDescent="0.15">
      <c r="E128" s="32"/>
    </row>
    <row r="129" spans="5:5" x14ac:dyDescent="0.15">
      <c r="E129" s="32"/>
    </row>
    <row r="130" spans="5:5" x14ac:dyDescent="0.15">
      <c r="E130" s="32"/>
    </row>
    <row r="131" spans="5:5" x14ac:dyDescent="0.15">
      <c r="E131" s="32"/>
    </row>
    <row r="132" spans="5:5" x14ac:dyDescent="0.15">
      <c r="E132" s="32"/>
    </row>
    <row r="133" spans="5:5" x14ac:dyDescent="0.15">
      <c r="E133" s="32"/>
    </row>
    <row r="134" spans="5:5" x14ac:dyDescent="0.15">
      <c r="E134" s="32"/>
    </row>
    <row r="135" spans="5:5" x14ac:dyDescent="0.15">
      <c r="E135" s="32"/>
    </row>
    <row r="136" spans="5:5" x14ac:dyDescent="0.15">
      <c r="E136" s="32"/>
    </row>
    <row r="137" spans="5:5" x14ac:dyDescent="0.15">
      <c r="E137" s="32"/>
    </row>
    <row r="138" spans="5:5" x14ac:dyDescent="0.15">
      <c r="E138" s="32"/>
    </row>
    <row r="139" spans="5:5" x14ac:dyDescent="0.15">
      <c r="E139" s="32"/>
    </row>
    <row r="140" spans="5:5" x14ac:dyDescent="0.15">
      <c r="E140" s="32"/>
    </row>
    <row r="141" spans="5:5" x14ac:dyDescent="0.15">
      <c r="E141" s="32"/>
    </row>
  </sheetData>
  <mergeCells count="4">
    <mergeCell ref="D3:E3"/>
    <mergeCell ref="I3:J3"/>
    <mergeCell ref="Q49:Y49"/>
    <mergeCell ref="Z49:AC49"/>
  </mergeCells>
  <conditionalFormatting sqref="B51:B5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1:B54 B5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1:B6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1:B6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2:B8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2:B85 B8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2:B9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2:B95 B97:B11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7:B99 B108:B109 B1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7:B100 B102 B108:B110 B118 B1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7:B106 B108:B116 B1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8025-F1D5-A64C-92C8-6999B09C3ED7}">
  <dimension ref="B1:AJ93"/>
  <sheetViews>
    <sheetView tabSelected="1" zoomScale="75" zoomScaleNormal="247" workbookViewId="0">
      <selection activeCell="C1" sqref="C1"/>
    </sheetView>
  </sheetViews>
  <sheetFormatPr baseColWidth="10" defaultRowHeight="13" x14ac:dyDescent="0.15"/>
  <cols>
    <col min="1" max="4" width="10.83203125" style="14"/>
    <col min="5" max="5" width="13.6640625" style="14" customWidth="1"/>
    <col min="6" max="16384" width="10.83203125" style="14"/>
  </cols>
  <sheetData>
    <row r="1" spans="2:19" x14ac:dyDescent="0.15">
      <c r="C1" s="6" t="s">
        <v>83</v>
      </c>
      <c r="D1" s="15"/>
      <c r="E1" s="15" t="s">
        <v>67</v>
      </c>
    </row>
    <row r="2" spans="2:19" x14ac:dyDescent="0.15">
      <c r="C2" s="15" t="s">
        <v>39</v>
      </c>
      <c r="D2" s="15"/>
      <c r="E2" s="15"/>
      <c r="F2" s="15"/>
      <c r="N2" s="15"/>
      <c r="O2" s="15"/>
    </row>
    <row r="3" spans="2:19" x14ac:dyDescent="0.15">
      <c r="B3" s="15" t="s">
        <v>5</v>
      </c>
      <c r="C3" s="15" t="s">
        <v>35</v>
      </c>
      <c r="D3" s="37" t="s">
        <v>6</v>
      </c>
      <c r="E3" s="37"/>
      <c r="F3" s="15" t="s">
        <v>34</v>
      </c>
      <c r="G3" s="15" t="s">
        <v>10</v>
      </c>
      <c r="H3" s="15"/>
      <c r="R3" s="6" t="s">
        <v>41</v>
      </c>
      <c r="S3" s="6" t="s">
        <v>42</v>
      </c>
    </row>
    <row r="4" spans="2:19" x14ac:dyDescent="0.15">
      <c r="B4" s="15">
        <v>3550</v>
      </c>
      <c r="C4" s="14">
        <f>1000*C51</f>
        <v>0.21149999999999999</v>
      </c>
      <c r="D4" s="14">
        <f>1000*D51</f>
        <v>1.52E-2</v>
      </c>
      <c r="F4" s="19">
        <f>1000*AE51</f>
        <v>1.447E-2</v>
      </c>
      <c r="G4" s="14" t="str">
        <f>E51</f>
        <v>Unresolved</v>
      </c>
      <c r="Q4" s="15">
        <v>3550</v>
      </c>
      <c r="R4" s="19">
        <f t="shared" ref="R4:R22" si="0">C4+D4</f>
        <v>0.22669999999999998</v>
      </c>
      <c r="S4" s="19">
        <f t="shared" ref="S4:S22" si="1">C4-D4</f>
        <v>0.1963</v>
      </c>
    </row>
    <row r="5" spans="2:19" x14ac:dyDescent="0.15">
      <c r="B5" s="15">
        <v>5000</v>
      </c>
      <c r="C5" s="14">
        <f t="shared" ref="C5:D22" si="2">1000*C52</f>
        <v>0.21054</v>
      </c>
      <c r="D5" s="14">
        <f t="shared" si="2"/>
        <v>1.5800000000000002E-2</v>
      </c>
      <c r="F5" s="19">
        <f t="shared" ref="F5:F22" si="3">1000*AE52</f>
        <v>1.5760000000000003E-2</v>
      </c>
      <c r="G5" s="14" t="str">
        <f t="shared" ref="G5:G22" si="4">E52</f>
        <v>Unresolved</v>
      </c>
      <c r="Q5" s="15">
        <v>5000</v>
      </c>
      <c r="R5" s="19">
        <f t="shared" si="0"/>
        <v>0.22634000000000001</v>
      </c>
      <c r="S5" s="19">
        <f t="shared" si="1"/>
        <v>0.19474</v>
      </c>
    </row>
    <row r="6" spans="2:19" x14ac:dyDescent="0.15">
      <c r="B6" s="15">
        <v>10000</v>
      </c>
      <c r="C6" s="14">
        <f t="shared" si="2"/>
        <v>0.21342999999999998</v>
      </c>
      <c r="D6" s="14">
        <f t="shared" si="2"/>
        <v>1.6399999999999998E-2</v>
      </c>
      <c r="F6" s="19">
        <f t="shared" si="3"/>
        <v>1.6310000000000002E-2</v>
      </c>
      <c r="G6" s="14" t="str">
        <f t="shared" si="4"/>
        <v>Unresolved</v>
      </c>
      <c r="Q6" s="15">
        <v>10000</v>
      </c>
      <c r="R6" s="19">
        <f t="shared" si="0"/>
        <v>0.22982999999999998</v>
      </c>
      <c r="S6" s="19">
        <f t="shared" si="1"/>
        <v>0.19702999999999998</v>
      </c>
    </row>
    <row r="7" spans="2:19" x14ac:dyDescent="0.15">
      <c r="B7" s="15">
        <v>14000</v>
      </c>
      <c r="C7" s="14">
        <f t="shared" si="2"/>
        <v>0.21319000000000002</v>
      </c>
      <c r="D7" s="14">
        <f t="shared" si="2"/>
        <v>1.6500000000000001E-2</v>
      </c>
      <c r="F7" s="19">
        <f t="shared" si="3"/>
        <v>1.6639999999999999E-2</v>
      </c>
      <c r="G7" s="14" t="str">
        <f t="shared" si="4"/>
        <v>Unresolved</v>
      </c>
      <c r="Q7" s="15">
        <v>14000</v>
      </c>
      <c r="R7" s="19">
        <f t="shared" si="0"/>
        <v>0.22969000000000001</v>
      </c>
      <c r="S7" s="19">
        <f t="shared" si="1"/>
        <v>0.19669000000000003</v>
      </c>
    </row>
    <row r="8" spans="2:19" x14ac:dyDescent="0.15">
      <c r="B8" s="15">
        <v>20000</v>
      </c>
      <c r="C8" s="14">
        <f t="shared" si="2"/>
        <v>0.21281</v>
      </c>
      <c r="D8" s="14">
        <f t="shared" si="2"/>
        <v>1.7299999999999999E-2</v>
      </c>
      <c r="F8" s="19">
        <f t="shared" si="3"/>
        <v>1.7319999999999999E-2</v>
      </c>
      <c r="G8" s="14" t="str">
        <f t="shared" si="4"/>
        <v>Unresolved</v>
      </c>
      <c r="Q8" s="15">
        <v>20000</v>
      </c>
      <c r="R8" s="19">
        <f t="shared" si="0"/>
        <v>0.23011000000000001</v>
      </c>
      <c r="S8" s="19">
        <f t="shared" si="1"/>
        <v>0.19550999999999999</v>
      </c>
    </row>
    <row r="9" spans="2:19" x14ac:dyDescent="0.15">
      <c r="B9" s="15">
        <v>25000</v>
      </c>
      <c r="C9" s="14">
        <f t="shared" si="2"/>
        <v>0.21723000000000001</v>
      </c>
      <c r="D9" s="14">
        <f t="shared" si="2"/>
        <v>1.83E-2</v>
      </c>
      <c r="F9" s="19">
        <f t="shared" si="3"/>
        <v>1.8720000000000001E-2</v>
      </c>
      <c r="G9" s="14" t="str">
        <f t="shared" si="4"/>
        <v>Unresolved</v>
      </c>
      <c r="Q9" s="15">
        <v>25000</v>
      </c>
      <c r="R9" s="19">
        <f t="shared" si="0"/>
        <v>0.23553000000000002</v>
      </c>
      <c r="S9" s="19">
        <f t="shared" si="1"/>
        <v>0.19893</v>
      </c>
    </row>
    <row r="10" spans="2:19" x14ac:dyDescent="0.15">
      <c r="B10" s="15">
        <v>30000</v>
      </c>
      <c r="C10" s="14">
        <f t="shared" si="2"/>
        <v>0.22910000000000003</v>
      </c>
      <c r="D10" s="14">
        <f t="shared" si="2"/>
        <v>1.9800000000000002E-2</v>
      </c>
      <c r="F10" s="19">
        <f t="shared" si="3"/>
        <v>2.0210000000000002E-2</v>
      </c>
      <c r="G10" s="14" t="str">
        <f t="shared" si="4"/>
        <v>Unresolved</v>
      </c>
      <c r="Q10" s="15">
        <v>30000</v>
      </c>
      <c r="R10" s="19">
        <f t="shared" si="0"/>
        <v>0.24890000000000004</v>
      </c>
      <c r="S10" s="19">
        <f t="shared" si="1"/>
        <v>0.20930000000000001</v>
      </c>
    </row>
    <row r="11" spans="2:19" x14ac:dyDescent="0.15">
      <c r="B11" s="15">
        <v>34000</v>
      </c>
      <c r="C11" s="14">
        <f t="shared" si="2"/>
        <v>0.23097999999999999</v>
      </c>
      <c r="D11" s="14">
        <f t="shared" si="2"/>
        <v>1.9899999999999998E-2</v>
      </c>
      <c r="F11" s="19">
        <f t="shared" si="3"/>
        <v>1.983E-2</v>
      </c>
      <c r="G11" s="14" t="str">
        <f t="shared" si="4"/>
        <v>Unresolved</v>
      </c>
      <c r="Q11" s="15">
        <v>34000</v>
      </c>
      <c r="R11" s="19">
        <f t="shared" si="0"/>
        <v>0.25087999999999999</v>
      </c>
      <c r="S11" s="19">
        <f t="shared" si="1"/>
        <v>0.21107999999999999</v>
      </c>
    </row>
    <row r="12" spans="2:19" x14ac:dyDescent="0.15">
      <c r="B12" s="15">
        <v>40000</v>
      </c>
      <c r="C12" s="14">
        <f t="shared" si="2"/>
        <v>0.22039999999999998</v>
      </c>
      <c r="D12" s="14">
        <f t="shared" si="2"/>
        <v>2.1299999999999999E-2</v>
      </c>
      <c r="E12" s="15"/>
      <c r="F12" s="19">
        <f t="shared" si="3"/>
        <v>2.1729999999999999E-2</v>
      </c>
      <c r="G12" s="14" t="str">
        <f t="shared" si="4"/>
        <v>Unresolved</v>
      </c>
      <c r="Q12" s="15">
        <v>40000</v>
      </c>
      <c r="R12" s="19">
        <f t="shared" si="0"/>
        <v>0.24169999999999997</v>
      </c>
      <c r="S12" s="19">
        <f t="shared" si="1"/>
        <v>0.1991</v>
      </c>
    </row>
    <row r="13" spans="2:19" x14ac:dyDescent="0.15">
      <c r="B13" s="15">
        <v>45000</v>
      </c>
      <c r="C13" s="14">
        <f t="shared" si="2"/>
        <v>0.24651000000000003</v>
      </c>
      <c r="D13" s="14">
        <f t="shared" si="2"/>
        <v>2.1600000000000001E-2</v>
      </c>
      <c r="F13" s="19">
        <f t="shared" si="3"/>
        <v>2.1239999999999998E-2</v>
      </c>
      <c r="G13" s="14" t="str">
        <f t="shared" si="4"/>
        <v>Unresolved</v>
      </c>
      <c r="Q13" s="15">
        <v>45000</v>
      </c>
      <c r="R13" s="19">
        <f t="shared" si="0"/>
        <v>0.26811000000000001</v>
      </c>
      <c r="S13" s="19">
        <f t="shared" si="1"/>
        <v>0.22491000000000003</v>
      </c>
    </row>
    <row r="14" spans="2:19" x14ac:dyDescent="0.15">
      <c r="B14" s="15">
        <v>50000</v>
      </c>
      <c r="C14" s="14">
        <f t="shared" si="2"/>
        <v>0.24829000000000001</v>
      </c>
      <c r="D14" s="14">
        <f t="shared" si="2"/>
        <v>2.29E-2</v>
      </c>
      <c r="F14" s="19">
        <f t="shared" si="3"/>
        <v>2.2790000000000001E-2</v>
      </c>
      <c r="G14" s="14" t="str">
        <f t="shared" si="4"/>
        <v>Unresolved</v>
      </c>
      <c r="Q14" s="15">
        <v>50000</v>
      </c>
      <c r="R14" s="19">
        <f t="shared" si="0"/>
        <v>0.27118999999999999</v>
      </c>
      <c r="S14" s="19">
        <f t="shared" si="1"/>
        <v>0.22539000000000001</v>
      </c>
    </row>
    <row r="15" spans="2:19" x14ac:dyDescent="0.15">
      <c r="B15" s="14">
        <v>55000</v>
      </c>
      <c r="C15" s="14">
        <f t="shared" si="2"/>
        <v>0.25514999999999999</v>
      </c>
      <c r="D15" s="14">
        <f t="shared" si="2"/>
        <v>2.3900000000000001E-2</v>
      </c>
      <c r="E15" s="15"/>
      <c r="F15" s="19">
        <f t="shared" si="3"/>
        <v>2.2249999999999999E-2</v>
      </c>
      <c r="G15" s="14" t="str">
        <f t="shared" si="4"/>
        <v>Unresolved</v>
      </c>
      <c r="Q15" s="14">
        <v>55000</v>
      </c>
      <c r="R15" s="19">
        <f t="shared" si="0"/>
        <v>0.27904999999999996</v>
      </c>
      <c r="S15" s="19">
        <f t="shared" si="1"/>
        <v>0.23124999999999998</v>
      </c>
    </row>
    <row r="16" spans="2:19" x14ac:dyDescent="0.15">
      <c r="B16" s="14">
        <v>60000</v>
      </c>
      <c r="C16" s="14">
        <f t="shared" si="2"/>
        <v>0.23882999999999999</v>
      </c>
      <c r="D16" s="14">
        <f t="shared" si="2"/>
        <v>2.5700000000000001E-2</v>
      </c>
      <c r="F16" s="19">
        <f t="shared" si="3"/>
        <v>2.41E-2</v>
      </c>
      <c r="G16" s="14" t="str">
        <f t="shared" si="4"/>
        <v>Unresolved</v>
      </c>
      <c r="Q16" s="14">
        <v>60000</v>
      </c>
      <c r="R16" s="19">
        <f t="shared" si="0"/>
        <v>0.26452999999999999</v>
      </c>
      <c r="S16" s="19">
        <f t="shared" si="1"/>
        <v>0.21312999999999999</v>
      </c>
    </row>
    <row r="17" spans="2:19" x14ac:dyDescent="0.15">
      <c r="B17" s="14">
        <v>65000</v>
      </c>
      <c r="C17" s="14">
        <f t="shared" si="2"/>
        <v>0.23688000000000001</v>
      </c>
      <c r="D17" s="14">
        <f t="shared" si="2"/>
        <v>2.8199999999999999E-2</v>
      </c>
      <c r="F17" s="19">
        <f t="shared" si="3"/>
        <v>2.6800000000000001E-2</v>
      </c>
      <c r="G17" s="14" t="str">
        <f t="shared" si="4"/>
        <v>Unresolved</v>
      </c>
      <c r="Q17" s="14">
        <v>65000</v>
      </c>
      <c r="R17" s="19">
        <f t="shared" si="0"/>
        <v>0.26507999999999998</v>
      </c>
      <c r="S17" s="19">
        <f t="shared" si="1"/>
        <v>0.20868</v>
      </c>
    </row>
    <row r="18" spans="2:19" x14ac:dyDescent="0.15">
      <c r="B18" s="14">
        <v>70000</v>
      </c>
      <c r="C18" s="14">
        <f t="shared" si="2"/>
        <v>0.20787999999999998</v>
      </c>
      <c r="D18" s="14">
        <f t="shared" si="2"/>
        <v>3.1199999999999999E-2</v>
      </c>
      <c r="F18" s="19">
        <f t="shared" si="3"/>
        <v>2.9929999999999998E-2</v>
      </c>
      <c r="G18" s="14" t="str">
        <f t="shared" si="4"/>
        <v>Unresolved</v>
      </c>
      <c r="Q18" s="14">
        <v>70000</v>
      </c>
      <c r="R18" s="19">
        <f t="shared" si="0"/>
        <v>0.23907999999999999</v>
      </c>
      <c r="S18" s="19">
        <f t="shared" si="1"/>
        <v>0.17667999999999998</v>
      </c>
    </row>
    <row r="19" spans="2:19" x14ac:dyDescent="0.15">
      <c r="B19" s="14">
        <v>75000</v>
      </c>
      <c r="C19" s="14">
        <f t="shared" si="2"/>
        <v>0.20247000000000001</v>
      </c>
      <c r="D19" s="14">
        <f t="shared" si="2"/>
        <v>3.4100000000000005E-2</v>
      </c>
      <c r="F19" s="19">
        <f t="shared" si="3"/>
        <v>3.0369999999999998E-2</v>
      </c>
      <c r="G19" s="14" t="str">
        <f t="shared" si="4"/>
        <v>Unresolved</v>
      </c>
      <c r="Q19" s="14">
        <v>75000</v>
      </c>
      <c r="R19" s="19">
        <f t="shared" si="0"/>
        <v>0.23657</v>
      </c>
      <c r="S19" s="19">
        <f t="shared" si="1"/>
        <v>0.16837000000000002</v>
      </c>
    </row>
    <row r="20" spans="2:19" x14ac:dyDescent="0.15">
      <c r="B20" s="14">
        <v>80000</v>
      </c>
      <c r="C20" s="14">
        <f t="shared" si="2"/>
        <v>0.18506</v>
      </c>
      <c r="D20" s="14">
        <f t="shared" si="2"/>
        <v>3.9600000000000003E-2</v>
      </c>
      <c r="F20" s="19">
        <f t="shared" si="3"/>
        <v>3.8960000000000002E-2</v>
      </c>
      <c r="G20" s="14" t="str">
        <f t="shared" si="4"/>
        <v>Unresolved</v>
      </c>
      <c r="Q20" s="14">
        <v>80000</v>
      </c>
      <c r="R20" s="19">
        <f t="shared" si="0"/>
        <v>0.22466</v>
      </c>
      <c r="S20" s="19">
        <f t="shared" si="1"/>
        <v>0.14546000000000001</v>
      </c>
    </row>
    <row r="21" spans="2:19" x14ac:dyDescent="0.15">
      <c r="B21" s="14">
        <v>85000</v>
      </c>
      <c r="C21" s="14">
        <f t="shared" si="2"/>
        <v>0.14245999999999998</v>
      </c>
      <c r="D21" s="14">
        <f t="shared" si="2"/>
        <v>4.4299999999999999E-2</v>
      </c>
      <c r="F21" s="19">
        <f t="shared" si="3"/>
        <v>4.2939999999999999E-2</v>
      </c>
      <c r="G21" s="14" t="str">
        <f t="shared" si="4"/>
        <v>Unresolved</v>
      </c>
      <c r="Q21" s="14">
        <v>85000</v>
      </c>
      <c r="R21" s="19">
        <f t="shared" si="0"/>
        <v>0.18675999999999998</v>
      </c>
      <c r="S21" s="19">
        <f t="shared" si="1"/>
        <v>9.8159999999999969E-2</v>
      </c>
    </row>
    <row r="22" spans="2:19" x14ac:dyDescent="0.15">
      <c r="B22" s="6">
        <v>90000</v>
      </c>
      <c r="C22" s="19">
        <f t="shared" si="2"/>
        <v>0.14301</v>
      </c>
      <c r="D22" s="19">
        <f t="shared" si="2"/>
        <v>0</v>
      </c>
      <c r="F22" s="19">
        <f t="shared" si="3"/>
        <v>4.7670000000000004E-2</v>
      </c>
      <c r="G22" s="14" t="str">
        <f t="shared" si="4"/>
        <v>Non-detection</v>
      </c>
      <c r="Q22" s="6">
        <v>90000</v>
      </c>
      <c r="R22" s="19">
        <f t="shared" si="0"/>
        <v>0.14301</v>
      </c>
      <c r="S22" s="19">
        <f t="shared" si="1"/>
        <v>0.14301</v>
      </c>
    </row>
    <row r="23" spans="2:19" x14ac:dyDescent="0.15">
      <c r="B23" s="15"/>
      <c r="C23" s="19"/>
      <c r="D23" s="19"/>
      <c r="G23" s="15"/>
      <c r="Q23" s="15"/>
      <c r="R23" s="19"/>
      <c r="S23" s="19"/>
    </row>
    <row r="24" spans="2:19" x14ac:dyDescent="0.15">
      <c r="B24" s="15"/>
      <c r="Q24" s="15"/>
      <c r="R24" s="19"/>
      <c r="S24" s="19"/>
    </row>
    <row r="25" spans="2:19" x14ac:dyDescent="0.15">
      <c r="B25" s="15" t="s">
        <v>7</v>
      </c>
      <c r="C25" s="14" t="s">
        <v>35</v>
      </c>
      <c r="D25" s="15" t="s">
        <v>44</v>
      </c>
      <c r="E25" s="15" t="s">
        <v>43</v>
      </c>
      <c r="F25" s="15" t="s">
        <v>34</v>
      </c>
      <c r="G25" s="15" t="s">
        <v>10</v>
      </c>
    </row>
    <row r="26" spans="2:19" x14ac:dyDescent="0.15">
      <c r="B26" s="15">
        <f>LOG(B4)</f>
        <v>3.5502283530550942</v>
      </c>
      <c r="C26" s="15">
        <f>LOG(C4)</f>
        <v>-0.67468962828893886</v>
      </c>
      <c r="D26" s="15">
        <f t="shared" ref="D26:D44" si="5">R26-C26</f>
        <v>3.0141148415456231E-2</v>
      </c>
      <c r="E26" s="15">
        <f t="shared" ref="E26:E44" si="6">C26-S26</f>
        <v>3.2390072111054935E-2</v>
      </c>
      <c r="F26" s="15">
        <f>LOG(F4)</f>
        <v>-1.8395314688809625</v>
      </c>
      <c r="G26" s="14" t="str">
        <f>G4</f>
        <v>Unresolved</v>
      </c>
      <c r="Q26" s="14">
        <f t="shared" ref="Q26:S44" si="7">LOG(Q4)</f>
        <v>3.5502283530550942</v>
      </c>
      <c r="R26" s="14">
        <f t="shared" ref="R26:S26" si="8">LOG(R4)</f>
        <v>-0.64454847987348263</v>
      </c>
      <c r="S26" s="14">
        <f t="shared" si="8"/>
        <v>-0.70707970039999379</v>
      </c>
    </row>
    <row r="27" spans="2:19" x14ac:dyDescent="0.15">
      <c r="B27" s="15">
        <f t="shared" ref="B27:C44" si="9">LOG(B5)</f>
        <v>3.6989700043360187</v>
      </c>
      <c r="C27" s="15">
        <f t="shared" si="9"/>
        <v>-0.67666538140095023</v>
      </c>
      <c r="D27" s="15">
        <f t="shared" si="5"/>
        <v>3.1426692952538859E-2</v>
      </c>
      <c r="E27" s="15">
        <f t="shared" si="6"/>
        <v>3.3879452928765375E-2</v>
      </c>
      <c r="F27" s="15">
        <f t="shared" ref="F27:F44" si="10">LOG(F5)</f>
        <v>-1.8024437868464633</v>
      </c>
      <c r="G27" s="14" t="str">
        <f t="shared" ref="G27:G44" si="11">G5</f>
        <v>Unresolved</v>
      </c>
      <c r="Q27" s="14">
        <f t="shared" si="7"/>
        <v>3.6989700043360187</v>
      </c>
      <c r="R27" s="14">
        <f t="shared" si="7"/>
        <v>-0.64523868844841137</v>
      </c>
      <c r="S27" s="14">
        <f t="shared" si="7"/>
        <v>-0.7105448343297156</v>
      </c>
    </row>
    <row r="28" spans="2:19" x14ac:dyDescent="0.15">
      <c r="B28" s="15">
        <f t="shared" si="9"/>
        <v>4</v>
      </c>
      <c r="C28" s="15">
        <f t="shared" si="9"/>
        <v>-0.67074453562036251</v>
      </c>
      <c r="D28" s="15">
        <f t="shared" si="5"/>
        <v>3.2151252679700204E-2</v>
      </c>
      <c r="E28" s="15">
        <f t="shared" si="6"/>
        <v>3.4723107037767598E-2</v>
      </c>
      <c r="F28" s="15">
        <f t="shared" si="10"/>
        <v>-1.7875460389597242</v>
      </c>
      <c r="G28" s="14" t="str">
        <f t="shared" si="11"/>
        <v>Unresolved</v>
      </c>
      <c r="Q28" s="14">
        <f t="shared" si="7"/>
        <v>4</v>
      </c>
      <c r="R28" s="14">
        <f t="shared" si="7"/>
        <v>-0.63859328294066231</v>
      </c>
      <c r="S28" s="14">
        <f t="shared" si="7"/>
        <v>-0.70546764265813011</v>
      </c>
    </row>
    <row r="29" spans="2:19" x14ac:dyDescent="0.15">
      <c r="B29" s="15">
        <f t="shared" si="9"/>
        <v>4.1461280356782382</v>
      </c>
      <c r="C29" s="15">
        <f t="shared" si="9"/>
        <v>-0.67123317040847486</v>
      </c>
      <c r="D29" s="15">
        <f t="shared" si="5"/>
        <v>3.2375258161807752E-2</v>
      </c>
      <c r="E29" s="15">
        <f t="shared" si="6"/>
        <v>3.498454926150163E-2</v>
      </c>
      <c r="F29" s="15">
        <f t="shared" si="10"/>
        <v>-1.7788466780452949</v>
      </c>
      <c r="G29" s="14" t="str">
        <f t="shared" si="11"/>
        <v>Unresolved</v>
      </c>
      <c r="Q29" s="14">
        <f t="shared" si="7"/>
        <v>4.1461280356782382</v>
      </c>
      <c r="R29" s="14">
        <f t="shared" si="7"/>
        <v>-0.6388579122466671</v>
      </c>
      <c r="S29" s="14">
        <f t="shared" si="7"/>
        <v>-0.70621771966997648</v>
      </c>
    </row>
    <row r="30" spans="2:19" x14ac:dyDescent="0.15">
      <c r="B30" s="15">
        <f t="shared" si="9"/>
        <v>4.3010299956639813</v>
      </c>
      <c r="C30" s="15">
        <f t="shared" si="9"/>
        <v>-0.67200796828122178</v>
      </c>
      <c r="D30" s="15">
        <f t="shared" si="5"/>
        <v>3.39434607023682E-2</v>
      </c>
      <c r="E30" s="15">
        <f t="shared" si="6"/>
        <v>3.6823056003516319E-2</v>
      </c>
      <c r="F30" s="15">
        <f t="shared" si="10"/>
        <v>-1.7614521123186722</v>
      </c>
      <c r="G30" s="14" t="str">
        <f t="shared" si="11"/>
        <v>Unresolved</v>
      </c>
      <c r="Q30" s="14">
        <f t="shared" si="7"/>
        <v>4.3010299956639813</v>
      </c>
      <c r="R30" s="14">
        <f t="shared" si="7"/>
        <v>-0.63806450757885358</v>
      </c>
      <c r="S30" s="14">
        <f t="shared" si="7"/>
        <v>-0.7088310242847381</v>
      </c>
    </row>
    <row r="31" spans="2:19" x14ac:dyDescent="0.15">
      <c r="B31" s="15">
        <f t="shared" si="9"/>
        <v>4.3979400086720375</v>
      </c>
      <c r="C31" s="15">
        <f t="shared" si="9"/>
        <v>-0.6630801977997719</v>
      </c>
      <c r="D31" s="15">
        <f t="shared" si="5"/>
        <v>3.5126429878977738E-2</v>
      </c>
      <c r="E31" s="15">
        <f t="shared" si="6"/>
        <v>3.8219519568556848E-2</v>
      </c>
      <c r="F31" s="15">
        <f t="shared" si="10"/>
        <v>-1.7276941555979135</v>
      </c>
      <c r="G31" s="14" t="str">
        <f t="shared" si="11"/>
        <v>Unresolved</v>
      </c>
      <c r="Q31" s="14">
        <f t="shared" si="7"/>
        <v>4.3979400086720375</v>
      </c>
      <c r="R31" s="14">
        <f t="shared" si="7"/>
        <v>-0.62795376792079416</v>
      </c>
      <c r="S31" s="14">
        <f t="shared" si="7"/>
        <v>-0.70129971736832875</v>
      </c>
    </row>
    <row r="32" spans="2:19" x14ac:dyDescent="0.15">
      <c r="B32" s="15">
        <f t="shared" si="9"/>
        <v>4.4771212547196626</v>
      </c>
      <c r="C32" s="15">
        <f t="shared" si="9"/>
        <v>-0.63997491081060243</v>
      </c>
      <c r="D32" s="15">
        <f t="shared" si="5"/>
        <v>3.5999807419195728E-2</v>
      </c>
      <c r="E32" s="15">
        <f t="shared" si="6"/>
        <v>3.9255860850711088E-2</v>
      </c>
      <c r="F32" s="15">
        <f t="shared" si="10"/>
        <v>-1.6944336864846961</v>
      </c>
      <c r="G32" s="14" t="str">
        <f t="shared" si="11"/>
        <v>Unresolved</v>
      </c>
      <c r="Q32" s="14">
        <f t="shared" si="7"/>
        <v>4.4771212547196626</v>
      </c>
      <c r="R32" s="14">
        <f t="shared" si="7"/>
        <v>-0.6039751033914067</v>
      </c>
      <c r="S32" s="14">
        <f t="shared" si="7"/>
        <v>-0.67923077166131351</v>
      </c>
    </row>
    <row r="33" spans="2:30" x14ac:dyDescent="0.15">
      <c r="B33" s="15">
        <f t="shared" si="9"/>
        <v>4.5314789170422554</v>
      </c>
      <c r="C33" s="15">
        <f t="shared" si="9"/>
        <v>-0.63642562298955396</v>
      </c>
      <c r="D33" s="15">
        <f t="shared" si="5"/>
        <v>3.5891663993898315E-2</v>
      </c>
      <c r="E33" s="15">
        <f t="shared" si="6"/>
        <v>3.9127291505359985E-2</v>
      </c>
      <c r="F33" s="15">
        <f t="shared" si="10"/>
        <v>-1.7026772857946972</v>
      </c>
      <c r="G33" s="14" t="str">
        <f t="shared" si="11"/>
        <v>Unresolved</v>
      </c>
      <c r="Q33" s="14">
        <f t="shared" si="7"/>
        <v>4.5314789170422554</v>
      </c>
      <c r="R33" s="14">
        <f t="shared" si="7"/>
        <v>-0.60053395899565565</v>
      </c>
      <c r="S33" s="14">
        <f t="shared" si="7"/>
        <v>-0.67555291449491395</v>
      </c>
    </row>
    <row r="34" spans="2:30" x14ac:dyDescent="0.15">
      <c r="B34" s="15">
        <f t="shared" si="9"/>
        <v>4.6020599913279625</v>
      </c>
      <c r="C34" s="15">
        <f t="shared" si="9"/>
        <v>-0.65678840982025255</v>
      </c>
      <c r="D34" s="15">
        <f t="shared" si="5"/>
        <v>4.0065060227902904E-2</v>
      </c>
      <c r="E34" s="15">
        <f t="shared" si="6"/>
        <v>4.414033015233787E-2</v>
      </c>
      <c r="F34" s="15">
        <f t="shared" si="10"/>
        <v>-1.6629402736794754</v>
      </c>
      <c r="G34" s="14" t="str">
        <f t="shared" si="11"/>
        <v>Unresolved</v>
      </c>
      <c r="Q34" s="14">
        <f t="shared" si="7"/>
        <v>4.6020599913279625</v>
      </c>
      <c r="R34" s="14">
        <f t="shared" si="7"/>
        <v>-0.61672334959234965</v>
      </c>
      <c r="S34" s="14">
        <f t="shared" si="7"/>
        <v>-0.70092873997259042</v>
      </c>
    </row>
    <row r="35" spans="2:30" x14ac:dyDescent="0.15">
      <c r="B35" s="15">
        <f t="shared" si="9"/>
        <v>4.653212513775344</v>
      </c>
      <c r="C35" s="15">
        <f t="shared" si="9"/>
        <v>-0.60816545830671365</v>
      </c>
      <c r="D35" s="15">
        <f t="shared" si="5"/>
        <v>3.6478470961082143E-2</v>
      </c>
      <c r="E35" s="15">
        <f t="shared" si="6"/>
        <v>3.982577612751137E-2</v>
      </c>
      <c r="F35" s="15">
        <f t="shared" si="10"/>
        <v>-1.6728454875905685</v>
      </c>
      <c r="G35" s="14" t="str">
        <f t="shared" si="11"/>
        <v>Unresolved</v>
      </c>
      <c r="H35" s="15"/>
      <c r="Q35" s="14">
        <f t="shared" si="7"/>
        <v>4.653212513775344</v>
      </c>
      <c r="R35" s="14">
        <f t="shared" si="7"/>
        <v>-0.5716869873456315</v>
      </c>
      <c r="S35" s="14">
        <f t="shared" si="7"/>
        <v>-0.64799123443422502</v>
      </c>
    </row>
    <row r="36" spans="2:30" x14ac:dyDescent="0.15">
      <c r="B36" s="15">
        <f t="shared" si="9"/>
        <v>4.6989700043360187</v>
      </c>
      <c r="C36" s="15">
        <f t="shared" si="9"/>
        <v>-0.60504077151380042</v>
      </c>
      <c r="D36" s="15">
        <f t="shared" si="5"/>
        <v>3.8314442605249299E-2</v>
      </c>
      <c r="E36" s="15">
        <f t="shared" si="6"/>
        <v>4.2024584926779518E-2</v>
      </c>
      <c r="F36" s="15">
        <f t="shared" si="10"/>
        <v>-1.6422556748196244</v>
      </c>
      <c r="G36" s="14" t="str">
        <f t="shared" si="11"/>
        <v>Unresolved</v>
      </c>
      <c r="Q36" s="14">
        <f t="shared" si="7"/>
        <v>4.6989700043360187</v>
      </c>
      <c r="R36" s="14">
        <f t="shared" si="7"/>
        <v>-0.56672632890855112</v>
      </c>
      <c r="S36" s="14">
        <f t="shared" si="7"/>
        <v>-0.64706535644057994</v>
      </c>
    </row>
    <row r="37" spans="2:30" x14ac:dyDescent="0.15">
      <c r="B37" s="15">
        <f t="shared" si="9"/>
        <v>4.7403626894942441</v>
      </c>
      <c r="C37" s="15">
        <f t="shared" si="9"/>
        <v>-0.59320442733174972</v>
      </c>
      <c r="D37" s="15">
        <f t="shared" si="5"/>
        <v>3.8886454184428931E-2</v>
      </c>
      <c r="E37" s="15">
        <f t="shared" si="6"/>
        <v>4.271383125718009E-2</v>
      </c>
      <c r="F37" s="15">
        <f t="shared" si="10"/>
        <v>-1.6526699846830497</v>
      </c>
      <c r="G37" s="14" t="str">
        <f t="shared" si="11"/>
        <v>Unresolved</v>
      </c>
      <c r="Q37" s="14">
        <f t="shared" si="7"/>
        <v>4.7403626894942441</v>
      </c>
      <c r="R37" s="14">
        <f t="shared" si="7"/>
        <v>-0.55431797314732079</v>
      </c>
      <c r="S37" s="14">
        <f t="shared" si="7"/>
        <v>-0.63591825858892981</v>
      </c>
    </row>
    <row r="38" spans="2:30" x14ac:dyDescent="0.15">
      <c r="B38" s="15">
        <f t="shared" si="9"/>
        <v>4.7781512503836439</v>
      </c>
      <c r="C38" s="15">
        <f t="shared" si="9"/>
        <v>-0.62191112136121329</v>
      </c>
      <c r="D38" s="15">
        <f t="shared" si="5"/>
        <v>4.4386053292484573E-2</v>
      </c>
      <c r="E38" s="15">
        <f t="shared" si="6"/>
        <v>4.9444293694879571E-2</v>
      </c>
      <c r="F38" s="15">
        <f t="shared" si="10"/>
        <v>-1.6179829574251317</v>
      </c>
      <c r="G38" s="14" t="str">
        <f t="shared" si="11"/>
        <v>Unresolved</v>
      </c>
      <c r="Q38" s="14">
        <f t="shared" si="7"/>
        <v>4.7781512503836439</v>
      </c>
      <c r="R38" s="14">
        <f t="shared" si="7"/>
        <v>-0.57752506806872872</v>
      </c>
      <c r="S38" s="14">
        <f t="shared" si="7"/>
        <v>-0.67135541505609286</v>
      </c>
    </row>
    <row r="39" spans="2:30" x14ac:dyDescent="0.15">
      <c r="B39" s="15">
        <f t="shared" si="9"/>
        <v>4.8129133566428557</v>
      </c>
      <c r="C39" s="15">
        <f t="shared" si="9"/>
        <v>-0.62547160561875725</v>
      </c>
      <c r="D39" s="15">
        <f t="shared" si="5"/>
        <v>4.8848567537816967E-2</v>
      </c>
      <c r="E39" s="15">
        <f t="shared" si="6"/>
        <v>5.5047566330905462E-2</v>
      </c>
      <c r="F39" s="15">
        <f t="shared" si="10"/>
        <v>-1.5718652059712113</v>
      </c>
      <c r="G39" s="14" t="str">
        <f t="shared" si="11"/>
        <v>Unresolved</v>
      </c>
      <c r="Q39" s="14">
        <f t="shared" si="7"/>
        <v>4.8129133566428557</v>
      </c>
      <c r="R39" s="14">
        <f t="shared" si="7"/>
        <v>-0.57662303808094029</v>
      </c>
      <c r="S39" s="14">
        <f t="shared" si="7"/>
        <v>-0.68051917194966272</v>
      </c>
    </row>
    <row r="40" spans="2:30" x14ac:dyDescent="0.15">
      <c r="B40" s="15">
        <f t="shared" si="9"/>
        <v>4.8450980400142569</v>
      </c>
      <c r="C40" s="15">
        <f t="shared" si="9"/>
        <v>-0.68218729184917815</v>
      </c>
      <c r="D40" s="15">
        <f t="shared" si="5"/>
        <v>6.0730539010822149E-2</v>
      </c>
      <c r="E40" s="15">
        <f t="shared" si="6"/>
        <v>7.0625317564468326E-2</v>
      </c>
      <c r="F40" s="15">
        <f t="shared" si="10"/>
        <v>-1.5238932831598087</v>
      </c>
      <c r="G40" s="14" t="str">
        <f t="shared" si="11"/>
        <v>Unresolved</v>
      </c>
      <c r="Q40" s="14">
        <f t="shared" si="7"/>
        <v>4.8450980400142569</v>
      </c>
      <c r="R40" s="14">
        <f t="shared" si="7"/>
        <v>-0.621456752838356</v>
      </c>
      <c r="S40" s="14">
        <f t="shared" si="7"/>
        <v>-0.75281260941364647</v>
      </c>
    </row>
    <row r="41" spans="2:30" x14ac:dyDescent="0.15">
      <c r="B41" s="15">
        <f t="shared" si="9"/>
        <v>4.8750612633917001</v>
      </c>
      <c r="C41" s="15">
        <f t="shared" si="9"/>
        <v>-0.69363931713894855</v>
      </c>
      <c r="D41" s="15">
        <f t="shared" si="5"/>
        <v>6.7598987014415468E-2</v>
      </c>
      <c r="E41" s="15">
        <f t="shared" si="6"/>
        <v>8.0095970965357588E-2</v>
      </c>
      <c r="F41" s="15">
        <f t="shared" si="10"/>
        <v>-1.5175552080817347</v>
      </c>
      <c r="G41" s="14" t="str">
        <f t="shared" si="11"/>
        <v>Unresolved</v>
      </c>
      <c r="Q41" s="14">
        <f t="shared" si="7"/>
        <v>4.8750612633917001</v>
      </c>
      <c r="R41" s="14">
        <f t="shared" si="7"/>
        <v>-0.62604033012453308</v>
      </c>
      <c r="S41" s="14">
        <f t="shared" si="7"/>
        <v>-0.77373528810430614</v>
      </c>
    </row>
    <row r="42" spans="2:30" x14ac:dyDescent="0.15">
      <c r="B42" s="15">
        <f t="shared" si="9"/>
        <v>4.9030899869919438</v>
      </c>
      <c r="C42" s="15">
        <f t="shared" si="9"/>
        <v>-0.73268744216855552</v>
      </c>
      <c r="D42" s="15">
        <f t="shared" si="5"/>
        <v>8.4213196716391825E-2</v>
      </c>
      <c r="E42" s="15">
        <f t="shared" si="6"/>
        <v>0.10456897459602899</v>
      </c>
      <c r="F42" s="15">
        <f t="shared" si="10"/>
        <v>-1.409381051793422</v>
      </c>
      <c r="G42" s="14" t="str">
        <f t="shared" si="11"/>
        <v>Unresolved</v>
      </c>
      <c r="Q42" s="14">
        <f t="shared" si="7"/>
        <v>4.9030899869919438</v>
      </c>
      <c r="R42" s="14">
        <f t="shared" si="7"/>
        <v>-0.6484742454521637</v>
      </c>
      <c r="S42" s="14">
        <f t="shared" si="7"/>
        <v>-0.83725641676458451</v>
      </c>
    </row>
    <row r="43" spans="2:30" x14ac:dyDescent="0.15">
      <c r="B43" s="15">
        <f t="shared" si="9"/>
        <v>4.9294189257142929</v>
      </c>
      <c r="C43" s="15">
        <f t="shared" si="9"/>
        <v>-0.84630705999144962</v>
      </c>
      <c r="D43" s="15">
        <f t="shared" si="5"/>
        <v>0.11759092525021775</v>
      </c>
      <c r="E43" s="15">
        <f t="shared" si="6"/>
        <v>0.16175839028960259</v>
      </c>
      <c r="F43" s="15">
        <f t="shared" si="10"/>
        <v>-1.3671379598997702</v>
      </c>
      <c r="G43" s="14" t="str">
        <f t="shared" si="11"/>
        <v>Unresolved</v>
      </c>
      <c r="Q43" s="14">
        <f t="shared" si="7"/>
        <v>4.9294189257142929</v>
      </c>
      <c r="R43" s="14">
        <f t="shared" si="7"/>
        <v>-0.72871613474123187</v>
      </c>
      <c r="S43" s="14">
        <f t="shared" si="7"/>
        <v>-1.0080654502810522</v>
      </c>
    </row>
    <row r="44" spans="2:30" x14ac:dyDescent="0.15">
      <c r="B44" s="15">
        <f t="shared" si="9"/>
        <v>4.9542425094393252</v>
      </c>
      <c r="C44" s="15">
        <f t="shared" si="9"/>
        <v>-0.84463359335329558</v>
      </c>
      <c r="D44" s="15">
        <f t="shared" si="5"/>
        <v>0</v>
      </c>
      <c r="E44" s="15">
        <f t="shared" si="6"/>
        <v>0</v>
      </c>
      <c r="F44" s="15">
        <f t="shared" si="10"/>
        <v>-1.321754848072958</v>
      </c>
      <c r="G44" s="14" t="str">
        <f t="shared" si="11"/>
        <v>Non-detection</v>
      </c>
      <c r="Q44" s="14">
        <f t="shared" si="7"/>
        <v>4.9542425094393252</v>
      </c>
      <c r="R44" s="14">
        <f t="shared" si="7"/>
        <v>-0.84463359335329558</v>
      </c>
      <c r="S44" s="14">
        <f t="shared" si="7"/>
        <v>-0.84463359335329558</v>
      </c>
    </row>
    <row r="45" spans="2:30" x14ac:dyDescent="0.15">
      <c r="B45" s="15"/>
      <c r="C45" s="15"/>
      <c r="D45" s="15"/>
      <c r="E45" s="15"/>
      <c r="F45" s="15"/>
      <c r="G45" s="15"/>
    </row>
    <row r="46" spans="2:30" x14ac:dyDescent="0.15">
      <c r="B46" s="15"/>
      <c r="C46" s="15"/>
      <c r="D46" s="15"/>
      <c r="E46" s="15"/>
      <c r="F46" s="15"/>
      <c r="G46" s="15"/>
      <c r="W46" s="15"/>
    </row>
    <row r="47" spans="2:30" x14ac:dyDescent="0.15">
      <c r="B47" s="15"/>
      <c r="G47" s="15"/>
    </row>
    <row r="48" spans="2:30" x14ac:dyDescent="0.15">
      <c r="B48" s="15"/>
      <c r="AD48" s="15"/>
    </row>
    <row r="49" spans="2:36" x14ac:dyDescent="0.15">
      <c r="B49" s="14" t="s">
        <v>39</v>
      </c>
    </row>
    <row r="50" spans="2:36" x14ac:dyDescent="0.15">
      <c r="C50" s="15" t="s">
        <v>35</v>
      </c>
      <c r="D50" s="15" t="s">
        <v>6</v>
      </c>
      <c r="E50" s="15" t="s">
        <v>10</v>
      </c>
      <c r="F50" s="15" t="s">
        <v>11</v>
      </c>
      <c r="G50" s="15" t="s">
        <v>6</v>
      </c>
      <c r="H50" s="15" t="s">
        <v>12</v>
      </c>
      <c r="I50" s="15" t="s">
        <v>6</v>
      </c>
      <c r="J50" s="15" t="s">
        <v>32</v>
      </c>
      <c r="K50" s="15" t="s">
        <v>33</v>
      </c>
      <c r="L50" s="15" t="s">
        <v>13</v>
      </c>
      <c r="M50" s="15" t="s">
        <v>14</v>
      </c>
      <c r="N50" s="15" t="s">
        <v>15</v>
      </c>
      <c r="O50" s="15" t="s">
        <v>14</v>
      </c>
      <c r="P50" s="1" t="s">
        <v>62</v>
      </c>
      <c r="Q50" s="1" t="s">
        <v>63</v>
      </c>
      <c r="R50" s="1" t="s">
        <v>64</v>
      </c>
      <c r="S50" s="1" t="s">
        <v>63</v>
      </c>
      <c r="T50" s="15" t="s">
        <v>31</v>
      </c>
      <c r="U50" s="15" t="s">
        <v>16</v>
      </c>
      <c r="V50" s="15" t="s">
        <v>17</v>
      </c>
      <c r="W50" s="15" t="s">
        <v>18</v>
      </c>
      <c r="X50" s="15" t="s">
        <v>19</v>
      </c>
      <c r="Y50" s="15" t="s">
        <v>20</v>
      </c>
      <c r="Z50" s="15" t="s">
        <v>21</v>
      </c>
      <c r="AA50" s="15" t="s">
        <v>22</v>
      </c>
      <c r="AB50" s="15" t="s">
        <v>23</v>
      </c>
      <c r="AC50" s="15" t="s">
        <v>24</v>
      </c>
      <c r="AD50" s="15" t="s">
        <v>25</v>
      </c>
      <c r="AE50" s="15" t="s">
        <v>26</v>
      </c>
      <c r="AF50" s="15" t="s">
        <v>27</v>
      </c>
      <c r="AG50" s="15" t="s">
        <v>28</v>
      </c>
    </row>
    <row r="51" spans="2:36" ht="14" x14ac:dyDescent="0.15">
      <c r="B51" s="15">
        <v>3550</v>
      </c>
      <c r="C51" s="19">
        <f>F51</f>
        <v>2.1149999999999999E-4</v>
      </c>
      <c r="D51" s="19">
        <f>G51</f>
        <v>1.52E-5</v>
      </c>
      <c r="E51" s="6" t="s">
        <v>30</v>
      </c>
      <c r="F51" s="12">
        <v>2.1149999999999999E-4</v>
      </c>
      <c r="G51" s="12">
        <v>1.52E-5</v>
      </c>
      <c r="H51" s="12">
        <v>2.0701000000000001E-4</v>
      </c>
      <c r="I51" s="12">
        <v>2.5999999999999998E-5</v>
      </c>
      <c r="J51" s="6">
        <v>13.9</v>
      </c>
      <c r="K51" s="19">
        <f>3*AE51</f>
        <v>4.3409999999999999E-5</v>
      </c>
      <c r="L51" s="6">
        <v>1035.9490000000001</v>
      </c>
      <c r="M51" s="6">
        <v>0.21290000000000001</v>
      </c>
      <c r="N51" s="6">
        <v>1031.76</v>
      </c>
      <c r="O51" s="6">
        <v>0.62829999999999997</v>
      </c>
      <c r="P51" s="14">
        <f>(L51-1024)*(-0.2)</f>
        <v>-2.3898000000000139</v>
      </c>
      <c r="Q51" s="14">
        <f>M51*0.2</f>
        <v>4.2580000000000007E-2</v>
      </c>
      <c r="R51" s="14">
        <f>(N51-1024)*(0.2)</f>
        <v>1.5519999999999983</v>
      </c>
      <c r="S51" s="14">
        <f>O51*0.2</f>
        <v>0.12565999999999999</v>
      </c>
      <c r="T51" s="8">
        <f>19.89*7.29</f>
        <v>144.99809999999999</v>
      </c>
      <c r="U51" s="6">
        <v>1.091E-3</v>
      </c>
      <c r="V51" s="6">
        <v>0</v>
      </c>
      <c r="W51" s="6">
        <v>2.1719999999999999E-3</v>
      </c>
      <c r="X51" s="6">
        <v>0</v>
      </c>
      <c r="Y51" s="6">
        <v>0</v>
      </c>
      <c r="Z51" s="6">
        <v>3.5100000000000002E-4</v>
      </c>
      <c r="AA51" s="8">
        <v>165.78521699999999</v>
      </c>
      <c r="AB51" s="6">
        <v>131.62988300000001</v>
      </c>
      <c r="AC51" s="6">
        <v>7.3359379999999996</v>
      </c>
      <c r="AD51" s="9">
        <v>3.0320000000000002E-7</v>
      </c>
      <c r="AE51" s="9">
        <v>1.447E-5</v>
      </c>
      <c r="AF51" s="9">
        <v>4.9191999999999999E-5</v>
      </c>
      <c r="AG51" s="9">
        <v>-4.9234000000000003E-5</v>
      </c>
    </row>
    <row r="52" spans="2:36" ht="14" x14ac:dyDescent="0.15">
      <c r="B52" s="15">
        <v>5000</v>
      </c>
      <c r="C52" s="19">
        <f t="shared" ref="C52:C68" si="12">F52</f>
        <v>2.1054E-4</v>
      </c>
      <c r="D52" s="19">
        <f t="shared" ref="D52:D68" si="13">G52</f>
        <v>1.5800000000000001E-5</v>
      </c>
      <c r="E52" s="6" t="s">
        <v>30</v>
      </c>
      <c r="F52" s="7">
        <v>2.1054E-4</v>
      </c>
      <c r="G52" s="7">
        <v>1.5800000000000001E-5</v>
      </c>
      <c r="H52" s="7">
        <v>2.1144999999999999E-4</v>
      </c>
      <c r="I52" s="7">
        <v>2.7399999999999999E-5</v>
      </c>
      <c r="J52">
        <v>13.36</v>
      </c>
      <c r="K52" s="19">
        <f t="shared" ref="K52:K69" si="14">3*AE52</f>
        <v>4.7280000000000008E-5</v>
      </c>
      <c r="L52">
        <v>1035.9659999999999</v>
      </c>
      <c r="M52">
        <v>0.21640000000000001</v>
      </c>
      <c r="N52">
        <v>1031.729</v>
      </c>
      <c r="O52">
        <v>0.64800000000000002</v>
      </c>
      <c r="P52" s="14">
        <f t="shared" ref="P52:P67" si="15">(L52-1024)*(-0.2)</f>
        <v>-2.3931999999999789</v>
      </c>
      <c r="Q52" s="14">
        <f t="shared" ref="Q52:Q67" si="16">M52*0.2</f>
        <v>4.3280000000000006E-2</v>
      </c>
      <c r="R52" s="14">
        <f t="shared" ref="R52:R67" si="17">(N52-1024)*(0.2)</f>
        <v>1.5458000000000085</v>
      </c>
      <c r="S52" s="14">
        <f t="shared" ref="S52:S67" si="18">O52*0.2</f>
        <v>0.12960000000000002</v>
      </c>
      <c r="T52" s="8">
        <f>19.39*7.07</f>
        <v>137.0873</v>
      </c>
      <c r="U52">
        <v>1.284E-3</v>
      </c>
      <c r="V52">
        <v>0</v>
      </c>
      <c r="W52">
        <v>2.2859999999999998E-3</v>
      </c>
      <c r="X52">
        <v>0</v>
      </c>
      <c r="Y52">
        <v>0</v>
      </c>
      <c r="Z52">
        <v>4.26E-4</v>
      </c>
      <c r="AA52">
        <v>171.34329199999999</v>
      </c>
      <c r="AB52">
        <v>140.60522499999999</v>
      </c>
      <c r="AC52">
        <v>12.273254</v>
      </c>
      <c r="AD52" s="9">
        <v>1.8830000000000001E-7</v>
      </c>
      <c r="AE52" s="9">
        <v>1.5760000000000002E-5</v>
      </c>
      <c r="AF52" s="9">
        <v>4.863E-5</v>
      </c>
      <c r="AG52" s="9">
        <v>-5.1798000000000001E-5</v>
      </c>
    </row>
    <row r="53" spans="2:36" ht="14" x14ac:dyDescent="0.15">
      <c r="B53" s="15">
        <v>10000</v>
      </c>
      <c r="C53" s="19">
        <f t="shared" si="12"/>
        <v>2.1342999999999999E-4</v>
      </c>
      <c r="D53" s="19">
        <f t="shared" si="13"/>
        <v>1.6399999999999999E-5</v>
      </c>
      <c r="E53" s="6" t="s">
        <v>30</v>
      </c>
      <c r="F53" s="12">
        <v>2.1342999999999999E-4</v>
      </c>
      <c r="G53" s="12">
        <v>1.6399999999999999E-5</v>
      </c>
      <c r="H53" s="12">
        <v>2.0557999999999999E-4</v>
      </c>
      <c r="I53" s="12">
        <v>2.7699999999999999E-5</v>
      </c>
      <c r="J53" s="6">
        <v>13.01</v>
      </c>
      <c r="K53" s="19">
        <f t="shared" si="14"/>
        <v>4.8930000000000008E-5</v>
      </c>
      <c r="L53" s="6">
        <v>1035.951</v>
      </c>
      <c r="M53" s="6">
        <v>0.21060000000000001</v>
      </c>
      <c r="N53" s="6">
        <v>1031.9100000000001</v>
      </c>
      <c r="O53" s="6">
        <v>0.62329999999999997</v>
      </c>
      <c r="P53" s="14">
        <f t="shared" si="15"/>
        <v>-2.3902000000000045</v>
      </c>
      <c r="Q53" s="14">
        <f t="shared" si="16"/>
        <v>4.2120000000000005E-2</v>
      </c>
      <c r="R53" s="14">
        <f t="shared" si="17"/>
        <v>1.5820000000000165</v>
      </c>
      <c r="S53" s="14">
        <f t="shared" si="18"/>
        <v>0.12465999999999999</v>
      </c>
      <c r="T53" s="6">
        <f>18.87*6.7</f>
        <v>126.42900000000002</v>
      </c>
      <c r="U53" s="6">
        <v>7.1199999999999996E-4</v>
      </c>
      <c r="V53" s="6">
        <v>0</v>
      </c>
      <c r="W53" s="6">
        <v>1.941E-3</v>
      </c>
      <c r="X53" s="6">
        <v>0</v>
      </c>
      <c r="Y53" s="6">
        <v>0</v>
      </c>
      <c r="Z53" s="6">
        <v>8.2600000000000002E-4</v>
      </c>
      <c r="AA53" s="6">
        <v>154.95245399999999</v>
      </c>
      <c r="AB53" s="6">
        <v>115.291016</v>
      </c>
      <c r="AC53" s="6">
        <v>19.871016999999998</v>
      </c>
      <c r="AD53" s="9">
        <v>-4.2899999999999999E-9</v>
      </c>
      <c r="AE53" s="9">
        <v>1.6310000000000001E-5</v>
      </c>
      <c r="AF53" s="9">
        <v>5.1752999999999997E-5</v>
      </c>
      <c r="AG53" s="9">
        <v>-5.6848000000000002E-5</v>
      </c>
    </row>
    <row r="54" spans="2:36" ht="14" x14ac:dyDescent="0.15">
      <c r="B54" s="15">
        <v>14000</v>
      </c>
      <c r="C54" s="19">
        <f t="shared" si="12"/>
        <v>2.1319000000000001E-4</v>
      </c>
      <c r="D54" s="19">
        <f t="shared" si="13"/>
        <v>1.6500000000000001E-5</v>
      </c>
      <c r="E54" s="6" t="s">
        <v>30</v>
      </c>
      <c r="F54" s="7">
        <v>2.1319000000000001E-4</v>
      </c>
      <c r="G54" s="7">
        <v>1.6500000000000001E-5</v>
      </c>
      <c r="H54" s="7">
        <v>2.0165999999999999E-4</v>
      </c>
      <c r="I54" s="7">
        <v>2.76E-5</v>
      </c>
      <c r="J54">
        <v>12.91</v>
      </c>
      <c r="K54" s="19">
        <f t="shared" si="14"/>
        <v>4.9919999999999996E-5</v>
      </c>
      <c r="L54">
        <v>1035.942</v>
      </c>
      <c r="M54">
        <v>0.2079</v>
      </c>
      <c r="N54">
        <v>1031.8699999999999</v>
      </c>
      <c r="O54">
        <v>0.61140000000000005</v>
      </c>
      <c r="P54" s="14">
        <f t="shared" si="15"/>
        <v>-2.3884000000000016</v>
      </c>
      <c r="Q54" s="14">
        <f t="shared" si="16"/>
        <v>4.1580000000000006E-2</v>
      </c>
      <c r="R54" s="14">
        <f t="shared" si="17"/>
        <v>1.5739999999999783</v>
      </c>
      <c r="S54" s="14">
        <f t="shared" si="18"/>
        <v>0.12228000000000001</v>
      </c>
      <c r="T54" s="6">
        <f>18.45*6.65</f>
        <v>122.6925</v>
      </c>
      <c r="U54">
        <v>6.4099999999999997E-4</v>
      </c>
      <c r="V54">
        <v>0</v>
      </c>
      <c r="W54">
        <v>1.8760000000000001E-3</v>
      </c>
      <c r="X54">
        <v>0</v>
      </c>
      <c r="Y54">
        <v>0</v>
      </c>
      <c r="Z54">
        <v>7.27E-4</v>
      </c>
      <c r="AA54">
        <v>151.005966</v>
      </c>
      <c r="AB54">
        <v>107.27636699999999</v>
      </c>
      <c r="AC54">
        <v>12.425919</v>
      </c>
      <c r="AD54" s="9">
        <v>2.0410000000000001E-7</v>
      </c>
      <c r="AE54" s="9">
        <v>1.664E-5</v>
      </c>
      <c r="AF54" s="9">
        <v>5.4962E-5</v>
      </c>
      <c r="AG54" s="9">
        <v>-5.7457000000000002E-5</v>
      </c>
    </row>
    <row r="55" spans="2:36" ht="14" x14ac:dyDescent="0.15">
      <c r="B55" s="15">
        <v>20000</v>
      </c>
      <c r="C55" s="19">
        <f t="shared" si="12"/>
        <v>2.1280999999999999E-4</v>
      </c>
      <c r="D55" s="19">
        <f t="shared" si="13"/>
        <v>1.73E-5</v>
      </c>
      <c r="E55" s="6" t="s">
        <v>30</v>
      </c>
      <c r="F55" s="7">
        <v>2.1280999999999999E-4</v>
      </c>
      <c r="G55" s="7">
        <v>1.73E-5</v>
      </c>
      <c r="H55" s="7">
        <v>1.9492000000000001E-4</v>
      </c>
      <c r="I55" s="7">
        <v>2.83E-5</v>
      </c>
      <c r="J55">
        <v>12.31</v>
      </c>
      <c r="K55" s="19">
        <f t="shared" si="14"/>
        <v>5.1959999999999997E-5</v>
      </c>
      <c r="L55">
        <v>1035.992</v>
      </c>
      <c r="M55">
        <v>0.20699999999999999</v>
      </c>
      <c r="N55">
        <v>1031.7370000000001</v>
      </c>
      <c r="O55">
        <v>0.59970000000000001</v>
      </c>
      <c r="P55" s="14">
        <f t="shared" si="15"/>
        <v>-2.3983999999999925</v>
      </c>
      <c r="Q55" s="14">
        <f t="shared" si="16"/>
        <v>4.1399999999999999E-2</v>
      </c>
      <c r="R55" s="14">
        <f t="shared" si="17"/>
        <v>1.5474000000000161</v>
      </c>
      <c r="S55" s="14">
        <f t="shared" si="18"/>
        <v>0.11994</v>
      </c>
      <c r="T55" s="6">
        <f>17.38*6.39</f>
        <v>111.05819999999999</v>
      </c>
      <c r="U55">
        <v>6.0700000000000001E-4</v>
      </c>
      <c r="V55">
        <v>0</v>
      </c>
      <c r="W55">
        <v>1.787E-3</v>
      </c>
      <c r="X55">
        <v>0</v>
      </c>
      <c r="Y55">
        <v>0</v>
      </c>
      <c r="Z55">
        <v>5.6899999999999995E-4</v>
      </c>
      <c r="AA55">
        <v>142.533447</v>
      </c>
      <c r="AB55">
        <v>100.06652800000001</v>
      </c>
      <c r="AC55">
        <v>2.8039860000000001</v>
      </c>
      <c r="AD55" s="9">
        <v>5.3020000000000001E-8</v>
      </c>
      <c r="AE55" s="9">
        <v>1.732E-5</v>
      </c>
      <c r="AF55" s="9">
        <v>6.0934000000000003E-5</v>
      </c>
      <c r="AG55" s="9">
        <v>-5.8668000000000001E-5</v>
      </c>
    </row>
    <row r="56" spans="2:36" ht="14" x14ac:dyDescent="0.15">
      <c r="B56" s="15">
        <v>25000</v>
      </c>
      <c r="C56" s="19">
        <f t="shared" si="12"/>
        <v>2.1723000000000001E-4</v>
      </c>
      <c r="D56" s="19">
        <f t="shared" si="13"/>
        <v>1.8300000000000001E-5</v>
      </c>
      <c r="E56" s="6" t="s">
        <v>30</v>
      </c>
      <c r="F56" s="7">
        <v>2.1723000000000001E-4</v>
      </c>
      <c r="G56" s="7">
        <v>1.8300000000000001E-5</v>
      </c>
      <c r="H56" s="7">
        <v>1.9864000000000001E-4</v>
      </c>
      <c r="I56" s="7">
        <v>2.9899999999999998E-5</v>
      </c>
      <c r="J56">
        <v>11.85</v>
      </c>
      <c r="K56" s="19">
        <f t="shared" si="14"/>
        <v>5.6160000000000004E-5</v>
      </c>
      <c r="L56">
        <v>1035.913</v>
      </c>
      <c r="M56">
        <v>0.20230000000000001</v>
      </c>
      <c r="N56">
        <v>1031.5070000000001</v>
      </c>
      <c r="O56">
        <v>0.59009999999999996</v>
      </c>
      <c r="P56" s="14">
        <f t="shared" si="15"/>
        <v>-2.3826000000000023</v>
      </c>
      <c r="Q56" s="14">
        <f t="shared" si="16"/>
        <v>4.0460000000000003E-2</v>
      </c>
      <c r="R56" s="14">
        <f t="shared" si="17"/>
        <v>1.5014000000000125</v>
      </c>
      <c r="S56" s="14">
        <f t="shared" si="18"/>
        <v>0.11802</v>
      </c>
      <c r="T56" s="6">
        <f>16.67*5.94</f>
        <v>99.019800000000018</v>
      </c>
      <c r="U56">
        <v>4.7699999999999999E-4</v>
      </c>
      <c r="V56">
        <v>0</v>
      </c>
      <c r="W56">
        <v>1.665E-3</v>
      </c>
      <c r="X56">
        <v>0</v>
      </c>
      <c r="Y56">
        <v>0</v>
      </c>
      <c r="Z56">
        <v>1.5250000000000001E-3</v>
      </c>
      <c r="AA56">
        <v>131.466049</v>
      </c>
      <c r="AB56">
        <v>87.299926999999997</v>
      </c>
      <c r="AC56">
        <v>172.931488</v>
      </c>
      <c r="AD56" s="9">
        <v>1.547E-7</v>
      </c>
      <c r="AE56" s="9">
        <v>1.872E-5</v>
      </c>
      <c r="AF56" s="9">
        <v>7.224E-5</v>
      </c>
      <c r="AG56" s="9">
        <v>-6.6527999999999997E-5</v>
      </c>
    </row>
    <row r="57" spans="2:36" ht="14" x14ac:dyDescent="0.15">
      <c r="B57" s="15">
        <v>30000</v>
      </c>
      <c r="C57" s="19">
        <f t="shared" si="12"/>
        <v>2.2910000000000001E-4</v>
      </c>
      <c r="D57" s="19">
        <f t="shared" si="13"/>
        <v>1.98E-5</v>
      </c>
      <c r="E57" s="6" t="s">
        <v>30</v>
      </c>
      <c r="F57" s="7">
        <v>2.2910000000000001E-4</v>
      </c>
      <c r="G57" s="7">
        <v>1.98E-5</v>
      </c>
      <c r="H57" s="7">
        <v>2.1803999999999999E-4</v>
      </c>
      <c r="I57" s="7">
        <v>3.3200000000000001E-5</v>
      </c>
      <c r="J57">
        <v>11.58</v>
      </c>
      <c r="K57" s="19">
        <f t="shared" si="14"/>
        <v>6.0630000000000007E-5</v>
      </c>
      <c r="L57">
        <v>1035.943</v>
      </c>
      <c r="M57">
        <v>0.19339999999999999</v>
      </c>
      <c r="N57">
        <v>1031.538</v>
      </c>
      <c r="O57">
        <v>0.60809999999999997</v>
      </c>
      <c r="P57" s="14">
        <f t="shared" si="15"/>
        <v>-2.3885999999999967</v>
      </c>
      <c r="Q57" s="14">
        <f t="shared" si="16"/>
        <v>3.8679999999999999E-2</v>
      </c>
      <c r="R57" s="14">
        <f t="shared" si="17"/>
        <v>1.5076000000000023</v>
      </c>
      <c r="S57" s="14">
        <f t="shared" si="18"/>
        <v>0.12162000000000001</v>
      </c>
      <c r="T57" s="6">
        <f>16.79*5.26</f>
        <v>88.315399999999997</v>
      </c>
      <c r="U57">
        <v>6.6299999999999996E-4</v>
      </c>
      <c r="V57">
        <v>0</v>
      </c>
      <c r="W57">
        <v>1.5610000000000001E-3</v>
      </c>
      <c r="X57">
        <v>0</v>
      </c>
      <c r="Y57">
        <v>0</v>
      </c>
      <c r="Z57">
        <v>1.7260000000000001E-3</v>
      </c>
      <c r="AA57">
        <v>38.569572000000001</v>
      </c>
      <c r="AB57">
        <v>3.810181</v>
      </c>
      <c r="AC57">
        <v>80.573920999999999</v>
      </c>
      <c r="AD57" s="9">
        <v>1.501E-7</v>
      </c>
      <c r="AE57" s="9">
        <v>2.0210000000000001E-5</v>
      </c>
      <c r="AF57" s="9">
        <v>6.8800999999999994E-5</v>
      </c>
      <c r="AG57" s="9">
        <v>-6.9326999999999995E-5</v>
      </c>
    </row>
    <row r="58" spans="2:36" ht="14" x14ac:dyDescent="0.15">
      <c r="B58" s="15">
        <v>34000</v>
      </c>
      <c r="C58" s="19">
        <f t="shared" si="12"/>
        <v>2.3097999999999999E-4</v>
      </c>
      <c r="D58" s="19">
        <f t="shared" si="13"/>
        <v>1.9899999999999999E-5</v>
      </c>
      <c r="E58" s="6" t="s">
        <v>30</v>
      </c>
      <c r="F58" s="7">
        <v>2.3097999999999999E-4</v>
      </c>
      <c r="G58" s="7">
        <v>1.9899999999999999E-5</v>
      </c>
      <c r="H58" s="7">
        <v>2.1830999999999999E-4</v>
      </c>
      <c r="I58" s="7">
        <v>3.3099999999999998E-5</v>
      </c>
      <c r="J58">
        <v>11.63</v>
      </c>
      <c r="K58" s="19">
        <f t="shared" si="14"/>
        <v>5.9490000000000001E-5</v>
      </c>
      <c r="L58">
        <v>1035.982</v>
      </c>
      <c r="M58">
        <v>0.18970000000000001</v>
      </c>
      <c r="N58">
        <v>1031.5920000000001</v>
      </c>
      <c r="O58">
        <v>0.6048</v>
      </c>
      <c r="P58" s="14">
        <f t="shared" si="15"/>
        <v>-2.3963999999999941</v>
      </c>
      <c r="Q58" s="14">
        <f t="shared" si="16"/>
        <v>3.7940000000000002E-2</v>
      </c>
      <c r="R58" s="14">
        <f t="shared" si="17"/>
        <v>1.5184000000000197</v>
      </c>
      <c r="S58" s="14">
        <f t="shared" si="18"/>
        <v>0.12096000000000001</v>
      </c>
      <c r="T58" s="6">
        <f>16.84*5.24</f>
        <v>88.241600000000005</v>
      </c>
      <c r="U58">
        <v>5.5400000000000002E-4</v>
      </c>
      <c r="V58">
        <v>0</v>
      </c>
      <c r="W58">
        <v>1.526E-3</v>
      </c>
      <c r="X58">
        <v>0</v>
      </c>
      <c r="Y58">
        <v>0</v>
      </c>
      <c r="Z58">
        <v>1.6750000000000001E-3</v>
      </c>
      <c r="AA58">
        <v>35.89085</v>
      </c>
      <c r="AB58">
        <v>176.774292</v>
      </c>
      <c r="AC58">
        <v>79.949005</v>
      </c>
      <c r="AD58" s="9">
        <v>7.7110000000000004E-9</v>
      </c>
      <c r="AE58" s="9">
        <v>1.9830000000000002E-5</v>
      </c>
      <c r="AF58" s="9">
        <v>6.9784999999999997E-5</v>
      </c>
      <c r="AG58" s="9">
        <v>-6.8396E-5</v>
      </c>
    </row>
    <row r="59" spans="2:36" ht="14" x14ac:dyDescent="0.15">
      <c r="B59" s="15">
        <v>40000</v>
      </c>
      <c r="C59" s="19">
        <f t="shared" si="12"/>
        <v>2.2039999999999999E-4</v>
      </c>
      <c r="D59" s="19">
        <f t="shared" si="13"/>
        <v>2.1299999999999999E-5</v>
      </c>
      <c r="E59" s="6" t="s">
        <v>30</v>
      </c>
      <c r="F59" s="7">
        <v>2.2039999999999999E-4</v>
      </c>
      <c r="G59" s="7">
        <v>2.1299999999999999E-5</v>
      </c>
      <c r="H59" s="7">
        <v>1.8605999999999999E-4</v>
      </c>
      <c r="I59" s="7">
        <v>3.3000000000000003E-5</v>
      </c>
      <c r="J59">
        <v>10.35</v>
      </c>
      <c r="K59" s="19">
        <f t="shared" si="14"/>
        <v>6.5190000000000004E-5</v>
      </c>
      <c r="L59">
        <v>1035.9649999999999</v>
      </c>
      <c r="M59">
        <v>0.2024</v>
      </c>
      <c r="N59">
        <v>1030.953</v>
      </c>
      <c r="O59">
        <v>0.60299999999999998</v>
      </c>
      <c r="P59" s="14">
        <f t="shared" si="15"/>
        <v>-2.3929999999999838</v>
      </c>
      <c r="Q59" s="14">
        <f t="shared" si="16"/>
        <v>4.0480000000000002E-2</v>
      </c>
      <c r="R59" s="14">
        <f t="shared" si="17"/>
        <v>1.390599999999995</v>
      </c>
      <c r="S59" s="14">
        <f t="shared" si="18"/>
        <v>0.1206</v>
      </c>
      <c r="T59" s="6">
        <f>15.93*5.15</f>
        <v>82.039500000000004</v>
      </c>
      <c r="U59">
        <v>0</v>
      </c>
      <c r="V59">
        <v>0</v>
      </c>
      <c r="W59">
        <v>1.268E-3</v>
      </c>
      <c r="X59">
        <v>0</v>
      </c>
      <c r="Y59">
        <v>0</v>
      </c>
      <c r="Z59">
        <v>0</v>
      </c>
      <c r="AA59">
        <v>0</v>
      </c>
      <c r="AB59">
        <v>0</v>
      </c>
      <c r="AC59">
        <v>175.075546</v>
      </c>
      <c r="AD59" s="9">
        <v>5.1020000000000003E-8</v>
      </c>
      <c r="AE59" s="9">
        <v>2.173E-5</v>
      </c>
      <c r="AF59" s="9">
        <v>8.1258E-5</v>
      </c>
      <c r="AG59" s="9">
        <v>-7.3435000000000004E-5</v>
      </c>
      <c r="AI59" s="15"/>
      <c r="AJ59" s="15"/>
    </row>
    <row r="60" spans="2:36" ht="14" x14ac:dyDescent="0.15">
      <c r="B60" s="15">
        <v>45000</v>
      </c>
      <c r="C60" s="19">
        <f t="shared" si="12"/>
        <v>2.4651000000000002E-4</v>
      </c>
      <c r="D60" s="19">
        <f t="shared" si="13"/>
        <v>2.16E-5</v>
      </c>
      <c r="E60" s="6" t="s">
        <v>30</v>
      </c>
      <c r="F60" s="7">
        <v>2.4651000000000002E-4</v>
      </c>
      <c r="G60" s="7">
        <v>2.16E-5</v>
      </c>
      <c r="H60" s="7">
        <v>2.0971E-4</v>
      </c>
      <c r="I60" s="7">
        <v>3.3699999999999999E-5</v>
      </c>
      <c r="J60">
        <v>11.39</v>
      </c>
      <c r="K60" s="19">
        <f t="shared" si="14"/>
        <v>6.3719999999999993E-5</v>
      </c>
      <c r="L60">
        <v>1035.951</v>
      </c>
      <c r="M60">
        <v>0.18659999999999999</v>
      </c>
      <c r="N60">
        <v>1031.088</v>
      </c>
      <c r="O60">
        <v>0.54139999999999999</v>
      </c>
      <c r="P60" s="14">
        <f t="shared" si="15"/>
        <v>-2.3902000000000045</v>
      </c>
      <c r="Q60" s="14">
        <f t="shared" si="16"/>
        <v>3.7319999999999999E-2</v>
      </c>
      <c r="R60" s="14">
        <f t="shared" si="17"/>
        <v>1.4175999999999931</v>
      </c>
      <c r="S60" s="14">
        <f t="shared" si="18"/>
        <v>0.10828</v>
      </c>
      <c r="T60" s="6">
        <f>16.42*5.02</f>
        <v>82.428399999999996</v>
      </c>
      <c r="U60">
        <v>0</v>
      </c>
      <c r="V60">
        <v>0</v>
      </c>
      <c r="W60" s="8">
        <v>9.68E-4</v>
      </c>
      <c r="X60">
        <v>0</v>
      </c>
      <c r="Y60">
        <v>0</v>
      </c>
      <c r="Z60">
        <v>0</v>
      </c>
      <c r="AA60">
        <v>174.21700000000001</v>
      </c>
      <c r="AB60">
        <v>0</v>
      </c>
      <c r="AC60">
        <v>179.552063</v>
      </c>
      <c r="AD60" s="9">
        <v>1.8540000000000001E-7</v>
      </c>
      <c r="AE60" s="9">
        <v>2.124E-5</v>
      </c>
      <c r="AF60" s="9">
        <v>7.8827999999999998E-5</v>
      </c>
      <c r="AG60" s="9">
        <v>-7.3214999999999996E-5</v>
      </c>
    </row>
    <row r="61" spans="2:36" ht="14" x14ac:dyDescent="0.15">
      <c r="B61" s="15">
        <v>50000</v>
      </c>
      <c r="C61" s="19">
        <f t="shared" si="12"/>
        <v>2.4829000000000002E-4</v>
      </c>
      <c r="D61" s="19">
        <f t="shared" si="13"/>
        <v>2.2900000000000001E-5</v>
      </c>
      <c r="E61" s="6" t="s">
        <v>30</v>
      </c>
      <c r="F61" s="7">
        <v>2.4829000000000002E-4</v>
      </c>
      <c r="G61" s="7">
        <v>2.2900000000000001E-5</v>
      </c>
      <c r="H61" s="7">
        <v>2.1212999999999999E-4</v>
      </c>
      <c r="I61" s="7">
        <v>3.5800000000000003E-5</v>
      </c>
      <c r="J61">
        <v>10.84</v>
      </c>
      <c r="K61" s="19">
        <f t="shared" si="14"/>
        <v>6.8369999999999998E-5</v>
      </c>
      <c r="L61">
        <v>1035.923</v>
      </c>
      <c r="M61">
        <v>0.1865</v>
      </c>
      <c r="N61">
        <v>1031.0070000000001</v>
      </c>
      <c r="O61">
        <v>0.57989999999999997</v>
      </c>
      <c r="P61" s="14">
        <f t="shared" si="15"/>
        <v>-2.3846000000000003</v>
      </c>
      <c r="Q61" s="14">
        <f t="shared" si="16"/>
        <v>3.73E-2</v>
      </c>
      <c r="R61" s="14">
        <f t="shared" si="17"/>
        <v>1.4014000000000124</v>
      </c>
      <c r="S61" s="14">
        <f t="shared" si="18"/>
        <v>0.11598</v>
      </c>
      <c r="T61" s="6">
        <f>16.88*4.78</f>
        <v>80.686400000000006</v>
      </c>
      <c r="U61">
        <v>0</v>
      </c>
      <c r="V61">
        <v>0</v>
      </c>
      <c r="W61">
        <v>9.0600000000000001E-4</v>
      </c>
      <c r="X61">
        <v>0</v>
      </c>
      <c r="Y61">
        <v>0</v>
      </c>
      <c r="Z61">
        <v>0</v>
      </c>
      <c r="AA61">
        <v>0</v>
      </c>
      <c r="AB61">
        <v>0</v>
      </c>
      <c r="AC61">
        <v>179.07978800000001</v>
      </c>
      <c r="AD61" s="9">
        <v>-5.1709999999999998E-8</v>
      </c>
      <c r="AE61" s="9">
        <v>2.279E-5</v>
      </c>
      <c r="AF61" s="9">
        <v>8.5063999999999997E-5</v>
      </c>
      <c r="AG61" s="9">
        <v>-8.1867999999999996E-5</v>
      </c>
    </row>
    <row r="62" spans="2:36" ht="14" x14ac:dyDescent="0.15">
      <c r="B62" s="14">
        <v>55000</v>
      </c>
      <c r="C62" s="19">
        <f t="shared" si="12"/>
        <v>2.5514999999999999E-4</v>
      </c>
      <c r="D62" s="19">
        <f t="shared" si="13"/>
        <v>2.3900000000000002E-5</v>
      </c>
      <c r="E62" s="6" t="s">
        <v>30</v>
      </c>
      <c r="F62" s="7">
        <v>2.5514999999999999E-4</v>
      </c>
      <c r="G62" s="7">
        <v>2.3900000000000002E-5</v>
      </c>
      <c r="H62" s="7">
        <v>2.1210000000000001E-4</v>
      </c>
      <c r="I62" s="7">
        <v>3.6699999999999998E-5</v>
      </c>
      <c r="J62">
        <v>10.67</v>
      </c>
      <c r="K62" s="19">
        <f t="shared" si="14"/>
        <v>6.6749999999999996E-5</v>
      </c>
      <c r="L62">
        <v>1035.934</v>
      </c>
      <c r="M62">
        <v>0.18360000000000001</v>
      </c>
      <c r="N62">
        <v>1031.115</v>
      </c>
      <c r="O62">
        <v>0.54979999999999996</v>
      </c>
      <c r="P62" s="14">
        <f t="shared" si="15"/>
        <v>-2.3867999999999938</v>
      </c>
      <c r="Q62" s="14">
        <f t="shared" si="16"/>
        <v>3.6720000000000003E-2</v>
      </c>
      <c r="R62" s="14">
        <f t="shared" si="17"/>
        <v>1.4230000000000018</v>
      </c>
      <c r="S62" s="14">
        <f t="shared" si="18"/>
        <v>0.10996</v>
      </c>
      <c r="T62" s="6">
        <f>16.33*4.6</f>
        <v>75.117999999999981</v>
      </c>
      <c r="U62">
        <v>0</v>
      </c>
      <c r="V62">
        <v>0</v>
      </c>
      <c r="W62">
        <v>8.0999999999999996E-4</v>
      </c>
      <c r="X62">
        <v>0</v>
      </c>
      <c r="Y62">
        <v>0</v>
      </c>
      <c r="Z62">
        <v>0</v>
      </c>
      <c r="AA62">
        <v>0</v>
      </c>
      <c r="AB62">
        <v>0</v>
      </c>
      <c r="AC62">
        <v>179.67514</v>
      </c>
      <c r="AD62" s="9">
        <v>1.048E-7</v>
      </c>
      <c r="AE62" s="9">
        <v>2.2249999999999999E-5</v>
      </c>
      <c r="AF62" s="9">
        <v>8.7379000000000005E-5</v>
      </c>
      <c r="AG62" s="9">
        <v>-7.7410000000000006E-5</v>
      </c>
    </row>
    <row r="63" spans="2:36" ht="14" x14ac:dyDescent="0.15">
      <c r="B63" s="14">
        <v>60000</v>
      </c>
      <c r="C63" s="19">
        <f t="shared" si="12"/>
        <v>2.3882999999999999E-4</v>
      </c>
      <c r="D63" s="19">
        <f t="shared" si="13"/>
        <v>2.5700000000000001E-5</v>
      </c>
      <c r="E63" s="6" t="s">
        <v>30</v>
      </c>
      <c r="F63" s="7">
        <v>2.3882999999999999E-4</v>
      </c>
      <c r="G63" s="7">
        <v>2.5700000000000001E-5</v>
      </c>
      <c r="H63" s="7">
        <v>2.0018999999999999E-4</v>
      </c>
      <c r="I63" s="7">
        <v>3.96E-5</v>
      </c>
      <c r="J63">
        <v>9.3000000000000007</v>
      </c>
      <c r="K63" s="19">
        <f t="shared" si="14"/>
        <v>7.2299999999999996E-5</v>
      </c>
      <c r="L63">
        <v>1035.876</v>
      </c>
      <c r="M63">
        <v>0.2069</v>
      </c>
      <c r="N63">
        <v>1031.193</v>
      </c>
      <c r="O63">
        <v>0.63129999999999997</v>
      </c>
      <c r="P63" s="14">
        <f t="shared" si="15"/>
        <v>-2.3751999999999955</v>
      </c>
      <c r="Q63" s="14">
        <f t="shared" si="16"/>
        <v>4.138E-2</v>
      </c>
      <c r="R63" s="14">
        <f t="shared" si="17"/>
        <v>1.4385999999999968</v>
      </c>
      <c r="S63" s="14">
        <f t="shared" si="18"/>
        <v>0.12626000000000001</v>
      </c>
      <c r="T63" s="6">
        <f>16.08*4.37</f>
        <v>70.269599999999997</v>
      </c>
      <c r="U63">
        <v>3.0499999999999999E-4</v>
      </c>
      <c r="V63">
        <v>0</v>
      </c>
      <c r="W63">
        <v>1.1310000000000001E-3</v>
      </c>
      <c r="X63">
        <v>0</v>
      </c>
      <c r="Y63">
        <v>0</v>
      </c>
      <c r="Z63">
        <v>1.0839999999999999E-3</v>
      </c>
      <c r="AA63">
        <v>8.1909779999999994</v>
      </c>
      <c r="AB63">
        <v>157.12841800000001</v>
      </c>
      <c r="AC63">
        <v>18.584292999999999</v>
      </c>
      <c r="AD63" s="9">
        <v>-1.2919999999999999E-7</v>
      </c>
      <c r="AE63" s="9">
        <v>2.41E-5</v>
      </c>
      <c r="AF63" s="9">
        <v>8.6775999999999997E-5</v>
      </c>
      <c r="AG63" s="9">
        <v>-7.9092999999999996E-5</v>
      </c>
    </row>
    <row r="64" spans="2:36" ht="14" x14ac:dyDescent="0.15">
      <c r="B64" s="14">
        <v>65000</v>
      </c>
      <c r="C64" s="19">
        <f t="shared" si="12"/>
        <v>2.3688E-4</v>
      </c>
      <c r="D64" s="19">
        <f t="shared" si="13"/>
        <v>2.8200000000000001E-5</v>
      </c>
      <c r="E64" s="6" t="s">
        <v>30</v>
      </c>
      <c r="F64" s="7">
        <v>2.3688E-4</v>
      </c>
      <c r="G64" s="7">
        <v>2.8200000000000001E-5</v>
      </c>
      <c r="H64" s="7">
        <v>2.0033E-4</v>
      </c>
      <c r="I64" s="7">
        <v>4.3699999999999998E-5</v>
      </c>
      <c r="J64">
        <v>8.41</v>
      </c>
      <c r="K64" s="19">
        <f t="shared" si="14"/>
        <v>8.0400000000000003E-5</v>
      </c>
      <c r="L64">
        <v>1036.038</v>
      </c>
      <c r="M64">
        <v>0.21909999999999999</v>
      </c>
      <c r="N64">
        <v>1031.2380000000001</v>
      </c>
      <c r="O64">
        <v>0.66439999999999999</v>
      </c>
      <c r="P64" s="14">
        <f t="shared" si="15"/>
        <v>-2.4076000000000022</v>
      </c>
      <c r="Q64" s="14">
        <f t="shared" si="16"/>
        <v>4.3819999999999998E-2</v>
      </c>
      <c r="R64" s="14">
        <f t="shared" si="17"/>
        <v>1.4476000000000113</v>
      </c>
      <c r="S64" s="14">
        <f t="shared" si="18"/>
        <v>0.13288</v>
      </c>
      <c r="T64" s="6">
        <f>15.1*4.13</f>
        <v>62.363</v>
      </c>
      <c r="U64">
        <v>3.86E-4</v>
      </c>
      <c r="V64">
        <v>0</v>
      </c>
      <c r="W64">
        <v>8.1300000000000003E-4</v>
      </c>
      <c r="X64">
        <v>0</v>
      </c>
      <c r="Y64">
        <v>0</v>
      </c>
      <c r="Z64">
        <v>1.2589999999999999E-3</v>
      </c>
      <c r="AA64">
        <v>11.562989999999999</v>
      </c>
      <c r="AB64">
        <v>153.03332499999999</v>
      </c>
      <c r="AC64">
        <v>49.447566999999999</v>
      </c>
      <c r="AD64" s="9">
        <v>2.2790000000000001E-8</v>
      </c>
      <c r="AE64" s="9">
        <v>2.6800000000000001E-5</v>
      </c>
      <c r="AF64" s="9">
        <v>1.0055E-4</v>
      </c>
      <c r="AG64" s="9">
        <v>-8.7911999999999994E-5</v>
      </c>
    </row>
    <row r="65" spans="2:33" ht="14" x14ac:dyDescent="0.15">
      <c r="B65" s="14">
        <v>70000</v>
      </c>
      <c r="C65" s="19">
        <f t="shared" si="12"/>
        <v>2.0788E-4</v>
      </c>
      <c r="D65" s="19">
        <f t="shared" si="13"/>
        <v>3.1199999999999999E-5</v>
      </c>
      <c r="E65" s="6" t="s">
        <v>30</v>
      </c>
      <c r="F65" s="7">
        <v>2.0788E-4</v>
      </c>
      <c r="G65" s="7">
        <v>3.1199999999999999E-5</v>
      </c>
      <c r="H65" s="7">
        <v>1.6101000000000001E-4</v>
      </c>
      <c r="I65" s="7">
        <v>4.5800000000000002E-5</v>
      </c>
      <c r="J65">
        <v>6.66</v>
      </c>
      <c r="K65" s="19">
        <f t="shared" si="14"/>
        <v>8.9789999999999992E-5</v>
      </c>
      <c r="L65">
        <v>1035.798</v>
      </c>
      <c r="M65">
        <v>0.24060000000000001</v>
      </c>
      <c r="N65">
        <v>1031.039</v>
      </c>
      <c r="O65">
        <v>0.79430000000000001</v>
      </c>
      <c r="P65" s="14">
        <f t="shared" si="15"/>
        <v>-2.3596000000000004</v>
      </c>
      <c r="Q65" s="14">
        <f t="shared" si="16"/>
        <v>4.8120000000000003E-2</v>
      </c>
      <c r="R65" s="14">
        <f t="shared" si="17"/>
        <v>1.4077999999999975</v>
      </c>
      <c r="S65" s="14">
        <f t="shared" si="18"/>
        <v>0.15886</v>
      </c>
      <c r="T65" s="6">
        <f>14.54*3.86</f>
        <v>56.124399999999994</v>
      </c>
      <c r="U65">
        <v>0</v>
      </c>
      <c r="V65">
        <v>0</v>
      </c>
      <c r="W65">
        <v>1.2229999999999999E-3</v>
      </c>
      <c r="X65">
        <v>0</v>
      </c>
      <c r="Y65">
        <v>0</v>
      </c>
      <c r="Z65">
        <v>1.8100000000000001E-4</v>
      </c>
      <c r="AA65">
        <v>0</v>
      </c>
      <c r="AB65">
        <v>0</v>
      </c>
      <c r="AC65">
        <v>178.98898299999999</v>
      </c>
      <c r="AD65" s="9">
        <v>-1.006E-8</v>
      </c>
      <c r="AE65" s="9">
        <v>2.993E-5</v>
      </c>
      <c r="AF65" s="9">
        <v>1.1804E-4</v>
      </c>
      <c r="AG65" s="9">
        <v>-1.1294E-4</v>
      </c>
    </row>
    <row r="66" spans="2:33" ht="14" x14ac:dyDescent="0.15">
      <c r="B66" s="14">
        <v>75000</v>
      </c>
      <c r="C66" s="19">
        <f t="shared" si="12"/>
        <v>2.0247E-4</v>
      </c>
      <c r="D66" s="19">
        <f t="shared" si="13"/>
        <v>3.4100000000000002E-5</v>
      </c>
      <c r="E66" s="6" t="s">
        <v>30</v>
      </c>
      <c r="F66" s="7">
        <v>2.0247E-4</v>
      </c>
      <c r="G66" s="7">
        <v>3.4100000000000002E-5</v>
      </c>
      <c r="H66" s="7">
        <v>1.6579999999999999E-4</v>
      </c>
      <c r="I66" s="7">
        <v>5.1900000000000001E-5</v>
      </c>
      <c r="J66">
        <v>5.93</v>
      </c>
      <c r="K66" s="19">
        <f t="shared" si="14"/>
        <v>9.111E-5</v>
      </c>
      <c r="L66">
        <v>1036.2809999999999</v>
      </c>
      <c r="M66">
        <v>0.27550000000000002</v>
      </c>
      <c r="N66">
        <v>1031.806</v>
      </c>
      <c r="O66">
        <v>0.93610000000000004</v>
      </c>
      <c r="P66" s="14">
        <f t="shared" si="15"/>
        <v>-2.4561999999999902</v>
      </c>
      <c r="Q66" s="14">
        <f t="shared" si="16"/>
        <v>5.510000000000001E-2</v>
      </c>
      <c r="R66" s="14">
        <f t="shared" si="17"/>
        <v>1.5612000000000081</v>
      </c>
      <c r="S66" s="14">
        <f t="shared" si="18"/>
        <v>0.18722000000000003</v>
      </c>
      <c r="T66" s="6">
        <f>14.7*3.59</f>
        <v>52.772999999999996</v>
      </c>
      <c r="U66">
        <v>2.1900000000000001E-4</v>
      </c>
      <c r="V66">
        <v>0</v>
      </c>
      <c r="W66">
        <v>1.5590000000000001E-3</v>
      </c>
      <c r="X66">
        <v>0</v>
      </c>
      <c r="Y66">
        <v>0</v>
      </c>
      <c r="Z66">
        <v>1.578E-3</v>
      </c>
      <c r="AA66">
        <v>8.7509960000000007</v>
      </c>
      <c r="AB66">
        <v>144.74255400000001</v>
      </c>
      <c r="AC66">
        <v>53.703311999999997</v>
      </c>
      <c r="AD66" s="9">
        <v>-2.22E-7</v>
      </c>
      <c r="AE66" s="9">
        <v>3.0369999999999999E-5</v>
      </c>
      <c r="AF66" s="9">
        <v>1.0757E-4</v>
      </c>
      <c r="AG66" s="9">
        <v>-1.166E-4</v>
      </c>
    </row>
    <row r="67" spans="2:33" ht="14" x14ac:dyDescent="0.15">
      <c r="B67" s="14">
        <v>80000</v>
      </c>
      <c r="C67" s="19">
        <f t="shared" si="12"/>
        <v>1.8505999999999999E-4</v>
      </c>
      <c r="D67" s="19">
        <f t="shared" si="13"/>
        <v>3.96E-5</v>
      </c>
      <c r="E67" s="6" t="s">
        <v>30</v>
      </c>
      <c r="F67" s="7">
        <v>1.8505999999999999E-4</v>
      </c>
      <c r="G67" s="7">
        <v>3.96E-5</v>
      </c>
      <c r="H67" s="7">
        <v>1.3358000000000001E-4</v>
      </c>
      <c r="I67" s="7">
        <v>5.5500000000000001E-5</v>
      </c>
      <c r="J67">
        <v>4.67</v>
      </c>
      <c r="K67" s="19">
        <f t="shared" si="14"/>
        <v>1.1688000000000001E-4</v>
      </c>
      <c r="L67">
        <v>1036.22</v>
      </c>
      <c r="M67">
        <v>0.2984</v>
      </c>
      <c r="N67">
        <v>1031.605</v>
      </c>
      <c r="O67">
        <v>0.97989999999999999</v>
      </c>
      <c r="P67" s="14">
        <f t="shared" si="15"/>
        <v>-2.4440000000000057</v>
      </c>
      <c r="Q67" s="14">
        <f t="shared" si="16"/>
        <v>5.9680000000000004E-2</v>
      </c>
      <c r="R67" s="14">
        <f t="shared" si="17"/>
        <v>1.5210000000000037</v>
      </c>
      <c r="S67" s="14">
        <f t="shared" si="18"/>
        <v>0.19598000000000002</v>
      </c>
      <c r="T67" s="6">
        <f>13.32*3.38</f>
        <v>45.021599999999999</v>
      </c>
      <c r="U67">
        <v>0</v>
      </c>
      <c r="V67">
        <v>0</v>
      </c>
      <c r="W67">
        <v>1.242E-3</v>
      </c>
      <c r="X67">
        <v>0</v>
      </c>
      <c r="Y67">
        <v>0</v>
      </c>
      <c r="Z67">
        <v>0</v>
      </c>
      <c r="AA67">
        <v>0</v>
      </c>
      <c r="AB67">
        <v>0</v>
      </c>
      <c r="AC67">
        <v>179.97070299999999</v>
      </c>
      <c r="AD67" s="9">
        <v>8.7240000000000006E-8</v>
      </c>
      <c r="AE67" s="9">
        <v>3.896E-5</v>
      </c>
      <c r="AF67" s="9">
        <v>1.4437E-4</v>
      </c>
      <c r="AG67" s="9">
        <v>-1.3234999999999999E-4</v>
      </c>
    </row>
    <row r="68" spans="2:33" ht="14" x14ac:dyDescent="0.15">
      <c r="B68" s="14">
        <v>85000</v>
      </c>
      <c r="C68" s="19">
        <f t="shared" si="12"/>
        <v>1.4245999999999999E-4</v>
      </c>
      <c r="D68" s="19">
        <f t="shared" si="13"/>
        <v>4.4299999999999999E-5</v>
      </c>
      <c r="E68" s="6" t="s">
        <v>30</v>
      </c>
      <c r="F68" s="7">
        <v>1.4245999999999999E-4</v>
      </c>
      <c r="G68" s="7">
        <v>4.4299999999999999E-5</v>
      </c>
      <c r="H68" s="7">
        <v>1.1959999999999999E-4</v>
      </c>
      <c r="I68" s="7">
        <v>6.8399999999999996E-5</v>
      </c>
      <c r="J68">
        <v>3.22</v>
      </c>
      <c r="K68" s="19">
        <f t="shared" si="14"/>
        <v>1.2882E-4</v>
      </c>
      <c r="L68">
        <v>970.93100000000004</v>
      </c>
      <c r="M68">
        <v>0.5171</v>
      </c>
      <c r="N68">
        <v>1010.479</v>
      </c>
      <c r="O68">
        <v>1.504</v>
      </c>
      <c r="P68" s="14">
        <f>(L68-1024)*(-0.2)</f>
        <v>10.613799999999992</v>
      </c>
      <c r="Q68" s="14">
        <f>M68*0.2</f>
        <v>0.10342000000000001</v>
      </c>
      <c r="R68" s="14">
        <f>(N68-1024)*(0.2)</f>
        <v>-2.7041999999999917</v>
      </c>
      <c r="S68" s="14">
        <f>O68*0.2</f>
        <v>0.30080000000000001</v>
      </c>
      <c r="T68" s="13">
        <f>11.38*3.53</f>
        <v>40.171399999999998</v>
      </c>
      <c r="U68">
        <v>8.9700000000000001E-4</v>
      </c>
      <c r="V68">
        <v>0</v>
      </c>
      <c r="W68">
        <v>2.5019999999999999E-3</v>
      </c>
      <c r="X68">
        <v>0</v>
      </c>
      <c r="Y68">
        <v>0</v>
      </c>
      <c r="Z68">
        <v>5.4900000000000001E-4</v>
      </c>
      <c r="AA68">
        <v>134.466217</v>
      </c>
      <c r="AB68">
        <v>90.532471000000001</v>
      </c>
      <c r="AC68">
        <v>178.93229700000001</v>
      </c>
      <c r="AD68" s="9">
        <v>-1.168E-7</v>
      </c>
      <c r="AE68" s="9">
        <v>4.2939999999999999E-5</v>
      </c>
      <c r="AF68" s="9">
        <v>1.6358E-4</v>
      </c>
      <c r="AG68" s="9">
        <v>-1.5589999999999999E-4</v>
      </c>
    </row>
    <row r="69" spans="2:33" ht="14" x14ac:dyDescent="0.15">
      <c r="B69" s="35">
        <v>90000</v>
      </c>
      <c r="C69" s="19">
        <f>3*AE69</f>
        <v>1.4301E-4</v>
      </c>
      <c r="D69" s="19">
        <v>0</v>
      </c>
      <c r="E69" s="6" t="s">
        <v>40</v>
      </c>
      <c r="F69" s="7">
        <v>1.3430000000000001E-4</v>
      </c>
      <c r="G69" s="7">
        <v>5.0800000000000002E-5</v>
      </c>
      <c r="H69" s="7">
        <v>1.2621999999999999E-4</v>
      </c>
      <c r="I69" s="7">
        <v>8.4400000000000005E-5</v>
      </c>
      <c r="J69">
        <v>2.64</v>
      </c>
      <c r="K69" s="19">
        <f t="shared" si="14"/>
        <v>1.4301E-4</v>
      </c>
      <c r="L69">
        <v>971.37900000000002</v>
      </c>
      <c r="M69">
        <v>0.71779999999999999</v>
      </c>
      <c r="N69">
        <v>1010.819</v>
      </c>
      <c r="O69">
        <v>2.0240999999999998</v>
      </c>
      <c r="P69" s="14">
        <f t="shared" ref="P69" si="19">(L69-1024)*(-0.2)</f>
        <v>10.524199999999997</v>
      </c>
      <c r="Q69" s="14">
        <f>M69*0.2</f>
        <v>0.14355999999999999</v>
      </c>
      <c r="R69" s="14">
        <f>(N69-1024)*(0.2)</f>
        <v>-2.6362000000000081</v>
      </c>
      <c r="S69" s="14">
        <f>O69*0.2</f>
        <v>0.40481999999999996</v>
      </c>
      <c r="T69" s="6">
        <f>11.26*3.31</f>
        <v>37.270600000000002</v>
      </c>
      <c r="U69">
        <v>1.4530000000000001E-3</v>
      </c>
      <c r="V69">
        <v>0</v>
      </c>
      <c r="W69">
        <v>3.2820000000000002E-3</v>
      </c>
      <c r="X69">
        <v>0</v>
      </c>
      <c r="Y69">
        <v>0</v>
      </c>
      <c r="Z69">
        <v>4.4499999999999997E-4</v>
      </c>
      <c r="AA69">
        <v>147.175613</v>
      </c>
      <c r="AB69">
        <v>114.351562</v>
      </c>
      <c r="AC69">
        <v>162.815674</v>
      </c>
      <c r="AD69" s="9">
        <v>-7.98E-8</v>
      </c>
      <c r="AE69" s="9">
        <v>4.7670000000000003E-5</v>
      </c>
      <c r="AF69" s="9">
        <v>2.0877E-4</v>
      </c>
      <c r="AG69" s="9">
        <v>-1.7623000000000001E-4</v>
      </c>
    </row>
    <row r="70" spans="2:33" x14ac:dyDescent="0.15">
      <c r="E70" s="20"/>
      <c r="F70" s="19"/>
      <c r="G70" s="19"/>
      <c r="H70" s="19"/>
      <c r="I70" s="19"/>
    </row>
    <row r="71" spans="2:33" x14ac:dyDescent="0.15"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Q71" s="20"/>
      <c r="R71" s="20"/>
      <c r="S71" s="20"/>
      <c r="T71" s="20"/>
      <c r="U71" s="20"/>
      <c r="V71" s="20"/>
      <c r="W71" s="20"/>
    </row>
    <row r="72" spans="2:33" x14ac:dyDescent="0.15">
      <c r="E72" s="20"/>
      <c r="F72" s="19"/>
      <c r="G72" s="19"/>
      <c r="H72" s="19"/>
      <c r="I72" s="19"/>
    </row>
    <row r="73" spans="2:33" x14ac:dyDescent="0.15">
      <c r="C73" s="14" t="s">
        <v>90</v>
      </c>
      <c r="E73" s="20"/>
      <c r="F73" s="19"/>
      <c r="G73" s="19"/>
      <c r="H73" s="19"/>
      <c r="I73" s="19"/>
    </row>
    <row r="74" spans="2:33" x14ac:dyDescent="0.15">
      <c r="C74" s="15" t="s">
        <v>25</v>
      </c>
      <c r="D74" s="15" t="s">
        <v>26</v>
      </c>
      <c r="E74" s="15" t="s">
        <v>27</v>
      </c>
      <c r="F74" s="15" t="s">
        <v>28</v>
      </c>
      <c r="G74" s="19" t="s">
        <v>91</v>
      </c>
      <c r="H74" s="19"/>
      <c r="I74" s="19"/>
    </row>
    <row r="75" spans="2:33" ht="14" x14ac:dyDescent="0.15">
      <c r="B75" s="15">
        <v>3550</v>
      </c>
      <c r="C75" s="9">
        <v>-7.1320000000000006E-8</v>
      </c>
      <c r="D75" s="9">
        <v>3.099E-5</v>
      </c>
      <c r="E75" s="9">
        <v>1.1263E-4</v>
      </c>
      <c r="F75" s="9">
        <v>-1.1194E-4</v>
      </c>
      <c r="G75" s="19">
        <f>3*D75</f>
        <v>9.2969999999999999E-5</v>
      </c>
      <c r="H75" s="19"/>
      <c r="I75" s="19"/>
    </row>
    <row r="76" spans="2:33" x14ac:dyDescent="0.15">
      <c r="B76" s="15">
        <v>5000</v>
      </c>
      <c r="E76" s="20"/>
      <c r="F76" s="19"/>
      <c r="G76" s="19">
        <f t="shared" ref="G76:G93" si="20">3*D76</f>
        <v>0</v>
      </c>
      <c r="H76" s="19"/>
      <c r="I76" s="19"/>
    </row>
    <row r="77" spans="2:33" x14ac:dyDescent="0.15">
      <c r="B77" s="15">
        <v>10000</v>
      </c>
      <c r="E77" s="20"/>
      <c r="F77" s="19"/>
      <c r="G77" s="19">
        <f t="shared" si="20"/>
        <v>0</v>
      </c>
      <c r="H77" s="19"/>
      <c r="I77" s="19"/>
    </row>
    <row r="78" spans="2:33" x14ac:dyDescent="0.15">
      <c r="B78" s="15">
        <v>14000</v>
      </c>
      <c r="E78" s="20"/>
      <c r="F78" s="19"/>
      <c r="G78" s="19">
        <f t="shared" si="20"/>
        <v>0</v>
      </c>
      <c r="H78" s="19"/>
      <c r="I78" s="19"/>
    </row>
    <row r="79" spans="2:33" x14ac:dyDescent="0.15">
      <c r="B79" s="15">
        <v>20000</v>
      </c>
      <c r="E79" s="20"/>
      <c r="F79" s="19"/>
      <c r="G79" s="19">
        <f t="shared" si="20"/>
        <v>0</v>
      </c>
      <c r="H79" s="19"/>
      <c r="I79" s="19"/>
    </row>
    <row r="80" spans="2:33" x14ac:dyDescent="0.15">
      <c r="B80" s="15">
        <v>25000</v>
      </c>
      <c r="E80" s="20"/>
      <c r="F80" s="19"/>
      <c r="G80" s="19">
        <f t="shared" si="20"/>
        <v>0</v>
      </c>
      <c r="H80" s="19"/>
      <c r="I80" s="19"/>
    </row>
    <row r="81" spans="2:9" x14ac:dyDescent="0.15">
      <c r="B81" s="15">
        <v>30000</v>
      </c>
      <c r="E81" s="20"/>
      <c r="F81" s="19"/>
      <c r="G81" s="19">
        <f t="shared" si="20"/>
        <v>0</v>
      </c>
      <c r="H81" s="19"/>
      <c r="I81" s="19"/>
    </row>
    <row r="82" spans="2:9" x14ac:dyDescent="0.15">
      <c r="B82" s="15">
        <v>34000</v>
      </c>
      <c r="E82" s="20"/>
      <c r="F82" s="19"/>
      <c r="G82" s="19">
        <f t="shared" si="20"/>
        <v>0</v>
      </c>
      <c r="H82" s="19"/>
      <c r="I82" s="19"/>
    </row>
    <row r="83" spans="2:9" x14ac:dyDescent="0.15">
      <c r="B83" s="15">
        <v>40000</v>
      </c>
      <c r="E83" s="20"/>
      <c r="F83" s="19"/>
      <c r="G83" s="19">
        <f t="shared" si="20"/>
        <v>0</v>
      </c>
      <c r="H83" s="19"/>
      <c r="I83" s="19"/>
    </row>
    <row r="84" spans="2:9" x14ac:dyDescent="0.15">
      <c r="B84" s="15">
        <v>45000</v>
      </c>
      <c r="E84" s="20"/>
      <c r="F84" s="19"/>
      <c r="G84" s="19">
        <f t="shared" si="20"/>
        <v>0</v>
      </c>
      <c r="H84" s="19"/>
      <c r="I84" s="19"/>
    </row>
    <row r="85" spans="2:9" x14ac:dyDescent="0.15">
      <c r="B85" s="15"/>
      <c r="F85" s="19"/>
      <c r="G85" s="19">
        <f t="shared" si="20"/>
        <v>0</v>
      </c>
      <c r="H85" s="19"/>
      <c r="I85" s="19"/>
    </row>
    <row r="86" spans="2:9" x14ac:dyDescent="0.15">
      <c r="F86" s="19"/>
      <c r="G86" s="19">
        <f t="shared" si="20"/>
        <v>0</v>
      </c>
      <c r="H86" s="19"/>
      <c r="I86" s="19"/>
    </row>
    <row r="87" spans="2:9" x14ac:dyDescent="0.15">
      <c r="F87" s="19"/>
      <c r="G87" s="19">
        <f t="shared" si="20"/>
        <v>0</v>
      </c>
      <c r="H87" s="19"/>
      <c r="I87" s="19"/>
    </row>
    <row r="88" spans="2:9" x14ac:dyDescent="0.15">
      <c r="F88" s="19"/>
      <c r="G88" s="19">
        <f t="shared" si="20"/>
        <v>0</v>
      </c>
      <c r="H88" s="19"/>
      <c r="I88" s="19"/>
    </row>
    <row r="89" spans="2:9" x14ac:dyDescent="0.15">
      <c r="F89" s="19"/>
      <c r="G89" s="19">
        <f t="shared" si="20"/>
        <v>0</v>
      </c>
      <c r="H89" s="19"/>
      <c r="I89" s="19"/>
    </row>
    <row r="90" spans="2:9" x14ac:dyDescent="0.15">
      <c r="G90" s="19">
        <f t="shared" si="20"/>
        <v>0</v>
      </c>
    </row>
    <row r="91" spans="2:9" x14ac:dyDescent="0.15">
      <c r="G91" s="19">
        <f t="shared" si="20"/>
        <v>0</v>
      </c>
    </row>
    <row r="92" spans="2:9" x14ac:dyDescent="0.15">
      <c r="G92" s="19">
        <f t="shared" si="20"/>
        <v>0</v>
      </c>
    </row>
    <row r="93" spans="2:9" x14ac:dyDescent="0.15">
      <c r="G93" s="19">
        <f t="shared" si="20"/>
        <v>0</v>
      </c>
    </row>
  </sheetData>
  <mergeCells count="1">
    <mergeCell ref="D3:E3"/>
  </mergeCells>
  <conditionalFormatting sqref="B51:B5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1:B5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1:B6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1:B6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5:B7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5:B7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5:B8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5:B9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CFEBF-4F6E-894A-BB8C-2BD0383BEF47}">
  <dimension ref="A1:AK130"/>
  <sheetViews>
    <sheetView zoomScale="85" zoomScaleNormal="247" workbookViewId="0">
      <selection activeCell="C1" sqref="C1"/>
    </sheetView>
  </sheetViews>
  <sheetFormatPr baseColWidth="10" defaultRowHeight="13" x14ac:dyDescent="0.15"/>
  <cols>
    <col min="1" max="4" width="10.83203125" style="14"/>
    <col min="5" max="5" width="13.6640625" style="14" customWidth="1"/>
    <col min="6" max="16384" width="10.83203125" style="14"/>
  </cols>
  <sheetData>
    <row r="1" spans="2:37" x14ac:dyDescent="0.15">
      <c r="C1" s="15" t="s">
        <v>4</v>
      </c>
      <c r="D1" s="15"/>
      <c r="E1" s="15" t="s">
        <v>1</v>
      </c>
    </row>
    <row r="2" spans="2:37" x14ac:dyDescent="0.15">
      <c r="C2" s="14" t="s">
        <v>38</v>
      </c>
      <c r="F2" s="15"/>
      <c r="H2" s="15" t="s">
        <v>39</v>
      </c>
      <c r="I2" s="15"/>
      <c r="J2" s="15"/>
      <c r="K2" s="15"/>
      <c r="S2" s="15"/>
      <c r="T2" s="15"/>
      <c r="U2" s="15"/>
      <c r="V2" s="15"/>
      <c r="W2" s="15"/>
      <c r="X2" s="15"/>
      <c r="Y2" s="15"/>
      <c r="Z2" s="15"/>
    </row>
    <row r="3" spans="2:37" ht="14" x14ac:dyDescent="0.15">
      <c r="B3" s="15" t="s">
        <v>5</v>
      </c>
      <c r="C3" s="15" t="s">
        <v>35</v>
      </c>
      <c r="D3" s="37" t="s">
        <v>6</v>
      </c>
      <c r="E3" s="37"/>
      <c r="F3" s="15" t="s">
        <v>34</v>
      </c>
      <c r="G3" s="15" t="s">
        <v>10</v>
      </c>
      <c r="H3" s="15" t="s">
        <v>35</v>
      </c>
      <c r="I3" s="37" t="s">
        <v>6</v>
      </c>
      <c r="J3" s="37"/>
      <c r="K3" s="15" t="s">
        <v>34</v>
      </c>
      <c r="L3" s="15" t="s">
        <v>10</v>
      </c>
      <c r="M3" s="15"/>
      <c r="AB3" s="6" t="s">
        <v>65</v>
      </c>
      <c r="AC3" s="3" t="s">
        <v>66</v>
      </c>
      <c r="AD3" s="3" t="s">
        <v>6</v>
      </c>
      <c r="AH3" s="6" t="s">
        <v>41</v>
      </c>
      <c r="AI3" s="6" t="s">
        <v>42</v>
      </c>
      <c r="AJ3" s="6" t="s">
        <v>41</v>
      </c>
      <c r="AK3" s="6" t="s">
        <v>42</v>
      </c>
    </row>
    <row r="4" spans="2:37" ht="14" x14ac:dyDescent="0.15">
      <c r="B4" s="15">
        <v>1100</v>
      </c>
      <c r="C4" s="15">
        <f>1000*C52</f>
        <v>0.60871000000000008</v>
      </c>
      <c r="D4" s="15">
        <f>1000*D52</f>
        <v>7.1300000000000002E-2</v>
      </c>
      <c r="E4" s="15"/>
      <c r="F4" s="14">
        <f>1000*AE52</f>
        <v>3.329E-2</v>
      </c>
      <c r="G4" s="15" t="str">
        <f>E52</f>
        <v>Resolved</v>
      </c>
      <c r="H4" s="27"/>
      <c r="I4" s="27"/>
      <c r="J4" s="27"/>
      <c r="K4" s="27"/>
      <c r="L4" s="27"/>
      <c r="W4" s="19"/>
      <c r="X4" s="19"/>
      <c r="Y4" s="19"/>
      <c r="Z4" s="19"/>
      <c r="AB4" s="15"/>
      <c r="AC4" s="26"/>
      <c r="AD4" s="26"/>
      <c r="AG4" s="15">
        <v>1100</v>
      </c>
      <c r="AH4" s="19">
        <f>C4+D4</f>
        <v>0.68001000000000011</v>
      </c>
      <c r="AI4" s="19">
        <f>C4-D4</f>
        <v>0.53741000000000005</v>
      </c>
      <c r="AJ4" s="26"/>
      <c r="AK4" s="26"/>
    </row>
    <row r="5" spans="2:37" ht="14" x14ac:dyDescent="0.15">
      <c r="B5" s="14">
        <v>3665</v>
      </c>
      <c r="C5" s="27"/>
      <c r="D5" s="27"/>
      <c r="E5" s="27"/>
      <c r="F5" s="27"/>
      <c r="G5" s="27"/>
      <c r="H5" s="14">
        <f>1000*C83</f>
        <v>0.12240999999999999</v>
      </c>
      <c r="I5" s="14">
        <f>1000*D83</f>
        <v>1.5000000000000001E-2</v>
      </c>
      <c r="K5" s="14">
        <f>1000*AE83</f>
        <v>1.515E-2</v>
      </c>
      <c r="L5" s="15" t="str">
        <f>E83</f>
        <v>Unresolved</v>
      </c>
      <c r="W5" s="19"/>
      <c r="X5" s="19"/>
      <c r="Y5" s="19"/>
      <c r="Z5" s="19"/>
      <c r="AC5" s="24"/>
      <c r="AD5" s="24"/>
      <c r="AG5" s="14">
        <v>3665</v>
      </c>
      <c r="AH5" s="26"/>
      <c r="AI5" s="26"/>
      <c r="AJ5" s="19">
        <f>H5+I5</f>
        <v>0.13741</v>
      </c>
      <c r="AK5" s="19">
        <f>H5-I5</f>
        <v>0.10740999999999999</v>
      </c>
    </row>
    <row r="6" spans="2:37" x14ac:dyDescent="0.15">
      <c r="B6" s="15">
        <v>5000</v>
      </c>
      <c r="C6" s="15">
        <f t="shared" ref="C6:D13" si="0">1000*C53</f>
        <v>0.48660999999999999</v>
      </c>
      <c r="D6" s="15">
        <f t="shared" si="0"/>
        <v>4.1500000000000002E-2</v>
      </c>
      <c r="E6" s="15"/>
      <c r="F6" s="14">
        <f t="shared" ref="F6:F15" si="1">1000*AE53</f>
        <v>4.2529999999999998E-2</v>
      </c>
      <c r="G6" s="15" t="str">
        <f t="shared" ref="G6:G15" si="2">E53</f>
        <v>Unresolved</v>
      </c>
      <c r="H6" s="14">
        <f t="shared" ref="H6:I11" si="3">1000*C84</f>
        <v>0.11993999999999999</v>
      </c>
      <c r="I6" s="14">
        <f t="shared" si="3"/>
        <v>1.52E-2</v>
      </c>
      <c r="K6" s="14">
        <f t="shared" ref="K6:K11" si="4">1000*AE84</f>
        <v>1.5339999999999999E-2</v>
      </c>
      <c r="L6" s="15" t="str">
        <f t="shared" ref="L6:L11" si="5">E84</f>
        <v>Unresolved</v>
      </c>
      <c r="AB6" s="15">
        <v>5000</v>
      </c>
      <c r="AC6" s="14">
        <f>LOG10(H6/C6)/LOG10(4.8/1.4)</f>
        <v>-1.1366136794120059</v>
      </c>
      <c r="AD6" s="14">
        <f>(1/(LN(4.8/1.4)))*SQRT((D6/C6)^2+(I6/H6)^2)</f>
        <v>0.12397433869745761</v>
      </c>
      <c r="AG6" s="15">
        <v>5000</v>
      </c>
      <c r="AH6" s="19">
        <f t="shared" ref="AH6:AH15" si="6">C6+D6</f>
        <v>0.52810999999999997</v>
      </c>
      <c r="AI6" s="19">
        <f t="shared" ref="AI6:AI15" si="7">C6-D6</f>
        <v>0.44511000000000001</v>
      </c>
      <c r="AJ6" s="19">
        <f t="shared" ref="AJ6:AJ24" si="8">H6+I6</f>
        <v>0.13513999999999998</v>
      </c>
      <c r="AK6" s="19">
        <f t="shared" ref="AK6:AK24" si="9">H6-I6</f>
        <v>0.10473999999999999</v>
      </c>
    </row>
    <row r="7" spans="2:37" x14ac:dyDescent="0.15">
      <c r="B7" s="15">
        <v>10000</v>
      </c>
      <c r="C7" s="15">
        <f t="shared" si="0"/>
        <v>0.56061000000000005</v>
      </c>
      <c r="D7" s="15">
        <f t="shared" si="0"/>
        <v>5.0899999999999994E-2</v>
      </c>
      <c r="E7" s="15"/>
      <c r="F7" s="14">
        <f t="shared" si="1"/>
        <v>5.0590000000000003E-2</v>
      </c>
      <c r="G7" s="15" t="str">
        <f t="shared" si="2"/>
        <v>Unresolved</v>
      </c>
      <c r="H7" s="14">
        <f t="shared" si="3"/>
        <v>0.12023</v>
      </c>
      <c r="I7" s="14">
        <f t="shared" si="3"/>
        <v>1.61E-2</v>
      </c>
      <c r="K7" s="14">
        <f t="shared" si="4"/>
        <v>1.6660000000000001E-2</v>
      </c>
      <c r="L7" s="15" t="str">
        <f t="shared" si="5"/>
        <v>Unresolved</v>
      </c>
      <c r="AB7" s="15">
        <v>10000</v>
      </c>
      <c r="AC7" s="14">
        <f t="shared" ref="AC7:AC14" si="10">LOG10(H7/C7)/LOG10(4.8/1.4)</f>
        <v>-1.2495449394345419</v>
      </c>
      <c r="AD7" s="14">
        <f t="shared" ref="AD7:AD14" si="11">(1/(LN(4.8/1.4)))*SQRT((D7/C7)^2+(I7/H7)^2)</f>
        <v>0.13130630385651337</v>
      </c>
      <c r="AG7" s="15">
        <v>10000</v>
      </c>
      <c r="AH7" s="19">
        <f t="shared" si="6"/>
        <v>0.61151</v>
      </c>
      <c r="AI7" s="19">
        <f t="shared" si="7"/>
        <v>0.50971000000000011</v>
      </c>
      <c r="AJ7" s="19">
        <f t="shared" si="8"/>
        <v>0.13633000000000001</v>
      </c>
      <c r="AK7" s="19">
        <f t="shared" si="9"/>
        <v>0.10413</v>
      </c>
    </row>
    <row r="8" spans="2:37" x14ac:dyDescent="0.15">
      <c r="B8" s="15">
        <v>15000</v>
      </c>
      <c r="C8" s="15">
        <f t="shared" si="0"/>
        <v>0.44279999999999997</v>
      </c>
      <c r="D8" s="15">
        <f t="shared" si="0"/>
        <v>5.0500000000000003E-2</v>
      </c>
      <c r="E8" s="15"/>
      <c r="F8" s="14">
        <f t="shared" si="1"/>
        <v>5.0179999999999995E-2</v>
      </c>
      <c r="G8" s="15" t="str">
        <f t="shared" si="2"/>
        <v>Unresolved</v>
      </c>
      <c r="H8" s="14">
        <f t="shared" si="3"/>
        <v>0.11627</v>
      </c>
      <c r="I8" s="14">
        <f t="shared" si="3"/>
        <v>1.6299999999999999E-2</v>
      </c>
      <c r="K8" s="14">
        <f t="shared" si="4"/>
        <v>1.6639999999999999E-2</v>
      </c>
      <c r="L8" s="15" t="str">
        <f t="shared" si="5"/>
        <v>Unresolved</v>
      </c>
      <c r="AB8" s="15">
        <v>15000</v>
      </c>
      <c r="AC8" s="14">
        <f t="shared" si="10"/>
        <v>-1.0852655810003551</v>
      </c>
      <c r="AD8" s="14">
        <f t="shared" si="11"/>
        <v>0.14667231113215604</v>
      </c>
      <c r="AG8" s="15">
        <v>15000</v>
      </c>
      <c r="AH8" s="19">
        <f t="shared" si="6"/>
        <v>0.49329999999999996</v>
      </c>
      <c r="AI8" s="19">
        <f t="shared" si="7"/>
        <v>0.39229999999999998</v>
      </c>
      <c r="AJ8" s="19">
        <f t="shared" si="8"/>
        <v>0.13256999999999999</v>
      </c>
      <c r="AK8" s="19">
        <f t="shared" si="9"/>
        <v>9.9970000000000003E-2</v>
      </c>
    </row>
    <row r="9" spans="2:37" x14ac:dyDescent="0.15">
      <c r="B9" s="15">
        <v>20000</v>
      </c>
      <c r="C9" s="15">
        <f t="shared" si="0"/>
        <v>0.40625</v>
      </c>
      <c r="D9" s="15">
        <f t="shared" si="0"/>
        <v>6.2E-2</v>
      </c>
      <c r="E9" s="15"/>
      <c r="F9" s="14">
        <f t="shared" si="1"/>
        <v>6.0720000000000003E-2</v>
      </c>
      <c r="G9" s="15" t="str">
        <f t="shared" si="2"/>
        <v>Unresolved</v>
      </c>
      <c r="H9" s="14">
        <f t="shared" si="3"/>
        <v>0.11493</v>
      </c>
      <c r="I9" s="14">
        <f t="shared" si="3"/>
        <v>1.6900000000000002E-2</v>
      </c>
      <c r="K9" s="14">
        <f t="shared" si="4"/>
        <v>1.728E-2</v>
      </c>
      <c r="L9" s="15" t="str">
        <f t="shared" si="5"/>
        <v>Unresolved</v>
      </c>
      <c r="AB9" s="15">
        <v>20000</v>
      </c>
      <c r="AC9" s="14">
        <f t="shared" si="10"/>
        <v>-1.0247550715340668</v>
      </c>
      <c r="AD9" s="14">
        <f t="shared" si="11"/>
        <v>0.17200040307174341</v>
      </c>
      <c r="AG9" s="15">
        <v>20000</v>
      </c>
      <c r="AH9" s="19">
        <f t="shared" si="6"/>
        <v>0.46825</v>
      </c>
      <c r="AI9" s="19">
        <f t="shared" si="7"/>
        <v>0.34425</v>
      </c>
      <c r="AJ9" s="19">
        <f t="shared" si="8"/>
        <v>0.13183</v>
      </c>
      <c r="AK9" s="19">
        <f t="shared" si="9"/>
        <v>9.8030000000000006E-2</v>
      </c>
    </row>
    <row r="10" spans="2:37" x14ac:dyDescent="0.15">
      <c r="B10" s="15">
        <v>25000</v>
      </c>
      <c r="C10" s="15">
        <f t="shared" si="0"/>
        <v>0.23907000000000003</v>
      </c>
      <c r="D10" s="15">
        <f t="shared" si="0"/>
        <v>0</v>
      </c>
      <c r="E10" s="15"/>
      <c r="F10" s="14">
        <f t="shared" si="1"/>
        <v>7.9690000000000011E-2</v>
      </c>
      <c r="G10" s="15" t="str">
        <f t="shared" si="2"/>
        <v>Non-detection</v>
      </c>
      <c r="H10" s="14">
        <f t="shared" si="3"/>
        <v>0.11867999999999999</v>
      </c>
      <c r="I10" s="14">
        <f t="shared" si="3"/>
        <v>1.7900000000000003E-2</v>
      </c>
      <c r="K10" s="14">
        <f t="shared" si="4"/>
        <v>1.821E-2</v>
      </c>
      <c r="L10" s="15" t="str">
        <f t="shared" si="5"/>
        <v>Unresolved</v>
      </c>
      <c r="AB10" s="15">
        <v>25000</v>
      </c>
      <c r="AC10" s="14">
        <f t="shared" si="10"/>
        <v>-0.56837981745800903</v>
      </c>
      <c r="AD10" s="14">
        <f t="shared" si="11"/>
        <v>0.12240922240295037</v>
      </c>
      <c r="AG10" s="15">
        <v>25000</v>
      </c>
      <c r="AH10" s="19">
        <f t="shared" si="6"/>
        <v>0.23907000000000003</v>
      </c>
      <c r="AI10" s="19">
        <f t="shared" si="7"/>
        <v>0.23907000000000003</v>
      </c>
      <c r="AJ10" s="19">
        <f t="shared" si="8"/>
        <v>0.13658000000000001</v>
      </c>
      <c r="AK10" s="19">
        <f t="shared" si="9"/>
        <v>0.10077999999999999</v>
      </c>
    </row>
    <row r="11" spans="2:37" x14ac:dyDescent="0.15">
      <c r="B11" s="15">
        <v>30000</v>
      </c>
      <c r="C11" s="28">
        <f t="shared" si="0"/>
        <v>0.36989999999999995</v>
      </c>
      <c r="D11" s="28">
        <f t="shared" si="0"/>
        <v>0</v>
      </c>
      <c r="E11" s="28"/>
      <c r="F11" s="28">
        <f t="shared" si="1"/>
        <v>0.12329999999999999</v>
      </c>
      <c r="G11" s="28" t="str">
        <f t="shared" si="2"/>
        <v>Non-detection</v>
      </c>
      <c r="H11" s="14">
        <f t="shared" si="3"/>
        <v>0.12572</v>
      </c>
      <c r="I11" s="14">
        <f t="shared" si="3"/>
        <v>1.95E-2</v>
      </c>
      <c r="K11" s="14">
        <f t="shared" si="4"/>
        <v>1.9380000000000001E-2</v>
      </c>
      <c r="L11" s="15" t="str">
        <f t="shared" si="5"/>
        <v>Unresolved</v>
      </c>
      <c r="AB11" s="15">
        <v>30000</v>
      </c>
      <c r="AC11" s="14">
        <f t="shared" si="10"/>
        <v>-0.87585198324994584</v>
      </c>
      <c r="AD11" s="14">
        <f t="shared" si="11"/>
        <v>0.12588352188078317</v>
      </c>
      <c r="AG11" s="15">
        <v>30000</v>
      </c>
      <c r="AH11" s="19">
        <f t="shared" si="6"/>
        <v>0.36989999999999995</v>
      </c>
      <c r="AI11" s="19">
        <f t="shared" si="7"/>
        <v>0.36989999999999995</v>
      </c>
      <c r="AJ11" s="19">
        <f t="shared" si="8"/>
        <v>0.14521999999999999</v>
      </c>
      <c r="AK11" s="19">
        <f t="shared" si="9"/>
        <v>0.10621999999999999</v>
      </c>
    </row>
    <row r="12" spans="2:37" x14ac:dyDescent="0.15">
      <c r="B12" s="15">
        <v>34000</v>
      </c>
      <c r="C12" s="28">
        <f t="shared" si="0"/>
        <v>0.61370000000000002</v>
      </c>
      <c r="D12" s="28">
        <f t="shared" si="0"/>
        <v>0.152</v>
      </c>
      <c r="E12" s="28"/>
      <c r="F12" s="28">
        <f t="shared" si="1"/>
        <v>0.14699999999999999</v>
      </c>
      <c r="G12" s="28" t="str">
        <f t="shared" si="2"/>
        <v>Unresolved</v>
      </c>
      <c r="H12" s="27"/>
      <c r="I12" s="29"/>
      <c r="J12" s="29"/>
      <c r="K12" s="27"/>
      <c r="L12" s="29"/>
      <c r="AB12" s="15">
        <v>34000</v>
      </c>
      <c r="AC12" s="24"/>
      <c r="AD12" s="24"/>
      <c r="AG12" s="15">
        <v>34000</v>
      </c>
      <c r="AH12" s="19">
        <f t="shared" si="6"/>
        <v>0.76570000000000005</v>
      </c>
      <c r="AI12" s="19">
        <f t="shared" si="7"/>
        <v>0.4617</v>
      </c>
      <c r="AJ12" s="25"/>
      <c r="AK12" s="25"/>
    </row>
    <row r="13" spans="2:37" x14ac:dyDescent="0.15">
      <c r="B13" s="15">
        <v>35000</v>
      </c>
      <c r="C13" s="28">
        <f t="shared" si="0"/>
        <v>0.58852000000000004</v>
      </c>
      <c r="D13" s="28">
        <f t="shared" si="0"/>
        <v>0.17699999999999999</v>
      </c>
      <c r="E13" s="28"/>
      <c r="F13" s="28">
        <f t="shared" si="1"/>
        <v>0.1633</v>
      </c>
      <c r="G13" s="28" t="str">
        <f t="shared" si="2"/>
        <v>Unresolved</v>
      </c>
      <c r="H13" s="14">
        <f>1000*C90</f>
        <v>0.12055</v>
      </c>
      <c r="I13" s="14">
        <f>1000*D90</f>
        <v>2.0199999999999999E-2</v>
      </c>
      <c r="K13" s="14">
        <f>1000*AE90</f>
        <v>1.932E-2</v>
      </c>
      <c r="L13" s="15" t="str">
        <f>E90</f>
        <v>Unresolved</v>
      </c>
      <c r="AB13" s="15">
        <v>35000</v>
      </c>
      <c r="AC13" s="14">
        <f t="shared" si="10"/>
        <v>-1.2868193298197026</v>
      </c>
      <c r="AD13" s="14">
        <f t="shared" si="11"/>
        <v>0.27941858880003129</v>
      </c>
      <c r="AG13" s="15">
        <v>35000</v>
      </c>
      <c r="AH13" s="19">
        <f t="shared" si="6"/>
        <v>0.76551999999999998</v>
      </c>
      <c r="AI13" s="19">
        <f t="shared" si="7"/>
        <v>0.41152000000000005</v>
      </c>
      <c r="AJ13" s="19">
        <f t="shared" si="8"/>
        <v>0.14075000000000001</v>
      </c>
      <c r="AK13" s="19">
        <f t="shared" si="9"/>
        <v>0.10035000000000001</v>
      </c>
    </row>
    <row r="14" spans="2:37" x14ac:dyDescent="0.15">
      <c r="B14" s="15">
        <v>40000</v>
      </c>
      <c r="C14" s="28">
        <f>1000*C60</f>
        <v>0.58852000000000004</v>
      </c>
      <c r="D14" s="28">
        <f>1000*D60</f>
        <v>0.17699999999999999</v>
      </c>
      <c r="E14" s="28"/>
      <c r="F14" s="28">
        <f t="shared" si="1"/>
        <v>0.2049</v>
      </c>
      <c r="G14" s="28" t="str">
        <f t="shared" si="2"/>
        <v>Non-detection</v>
      </c>
      <c r="H14" s="14">
        <f>1000*C91</f>
        <v>0.12903000000000001</v>
      </c>
      <c r="I14" s="14">
        <f>1000*D91</f>
        <v>2.1600000000000001E-2</v>
      </c>
      <c r="K14" s="14">
        <f>1000*AE91</f>
        <v>2.1100000000000001E-2</v>
      </c>
      <c r="L14" s="15" t="str">
        <f>E91</f>
        <v>Unresolved</v>
      </c>
      <c r="AB14" s="15">
        <v>40000</v>
      </c>
      <c r="AC14" s="14">
        <f t="shared" si="10"/>
        <v>-1.2316469243050656</v>
      </c>
      <c r="AD14" s="14">
        <f t="shared" si="11"/>
        <v>0.27935446475323145</v>
      </c>
      <c r="AG14" s="15">
        <v>40000</v>
      </c>
      <c r="AH14" s="19">
        <f t="shared" si="6"/>
        <v>0.76551999999999998</v>
      </c>
      <c r="AI14" s="19">
        <f t="shared" si="7"/>
        <v>0.41152000000000005</v>
      </c>
      <c r="AJ14" s="19">
        <f t="shared" si="8"/>
        <v>0.15063000000000001</v>
      </c>
      <c r="AK14" s="19">
        <f t="shared" si="9"/>
        <v>0.10743</v>
      </c>
    </row>
    <row r="15" spans="2:37" x14ac:dyDescent="0.15">
      <c r="B15" s="15">
        <v>43000</v>
      </c>
      <c r="C15" s="28">
        <f>1000*C61</f>
        <v>0.61469999999999991</v>
      </c>
      <c r="D15" s="28">
        <f>1000*D61</f>
        <v>0</v>
      </c>
      <c r="E15" s="28"/>
      <c r="F15" s="28">
        <f t="shared" si="1"/>
        <v>0.31190000000000001</v>
      </c>
      <c r="G15" s="28" t="str">
        <f t="shared" si="2"/>
        <v>Non-detection</v>
      </c>
      <c r="H15" s="27"/>
      <c r="I15" s="29"/>
      <c r="J15" s="29"/>
      <c r="K15" s="27"/>
      <c r="L15" s="29"/>
      <c r="AB15" s="15">
        <v>43000</v>
      </c>
      <c r="AC15" s="24"/>
      <c r="AD15" s="24"/>
      <c r="AG15" s="15">
        <v>43000</v>
      </c>
      <c r="AH15" s="19">
        <f t="shared" si="6"/>
        <v>0.61469999999999991</v>
      </c>
      <c r="AI15" s="19">
        <f t="shared" si="7"/>
        <v>0.61469999999999991</v>
      </c>
      <c r="AJ15" s="25"/>
      <c r="AK15" s="25"/>
    </row>
    <row r="16" spans="2:37" x14ac:dyDescent="0.15">
      <c r="B16" s="15">
        <v>45000</v>
      </c>
      <c r="C16" s="29"/>
      <c r="D16" s="29"/>
      <c r="E16" s="29"/>
      <c r="F16" s="27"/>
      <c r="G16" s="27"/>
      <c r="H16" s="14">
        <f>1000*C92</f>
        <v>0.13134000000000001</v>
      </c>
      <c r="I16" s="14">
        <f>1000*D92</f>
        <v>2.2500000000000003E-2</v>
      </c>
      <c r="K16" s="14">
        <f>1000*AE92</f>
        <v>2.2169999999999999E-2</v>
      </c>
      <c r="L16" s="15" t="str">
        <f>E92</f>
        <v>Unresolved</v>
      </c>
      <c r="AB16" s="15">
        <v>45000</v>
      </c>
      <c r="AC16" s="24"/>
      <c r="AD16" s="24"/>
      <c r="AG16" s="15">
        <v>45000</v>
      </c>
      <c r="AH16" s="25"/>
      <c r="AI16" s="25"/>
      <c r="AJ16" s="19">
        <f t="shared" si="8"/>
        <v>0.15384</v>
      </c>
      <c r="AK16" s="19">
        <f t="shared" si="9"/>
        <v>0.10884000000000001</v>
      </c>
    </row>
    <row r="17" spans="2:37" x14ac:dyDescent="0.15">
      <c r="B17" s="15">
        <v>50000</v>
      </c>
      <c r="C17" s="29"/>
      <c r="D17" s="29"/>
      <c r="E17" s="29"/>
      <c r="F17" s="27"/>
      <c r="G17" s="27"/>
      <c r="H17" s="14">
        <f t="shared" ref="H17:I23" si="12">1000*C93</f>
        <v>0.12725999999999998</v>
      </c>
      <c r="I17" s="14">
        <f t="shared" si="12"/>
        <v>2.46E-2</v>
      </c>
      <c r="K17" s="14">
        <f t="shared" ref="K17:K24" si="13">1000*AE93</f>
        <v>2.5109999999999997E-2</v>
      </c>
      <c r="L17" s="15" t="str">
        <f t="shared" ref="L17:L24" si="14">E93</f>
        <v>Unresolved</v>
      </c>
      <c r="AB17" s="15">
        <v>50000</v>
      </c>
      <c r="AC17" s="24"/>
      <c r="AD17" s="24"/>
      <c r="AG17" s="15">
        <v>50000</v>
      </c>
      <c r="AH17" s="25"/>
      <c r="AI17" s="25"/>
      <c r="AJ17" s="19">
        <f t="shared" si="8"/>
        <v>0.15185999999999999</v>
      </c>
      <c r="AK17" s="19">
        <f t="shared" si="9"/>
        <v>0.10265999999999999</v>
      </c>
    </row>
    <row r="18" spans="2:37" x14ac:dyDescent="0.15">
      <c r="B18" s="15">
        <v>55000</v>
      </c>
      <c r="C18" s="29"/>
      <c r="D18" s="29"/>
      <c r="E18" s="29"/>
      <c r="F18" s="27"/>
      <c r="G18" s="27"/>
      <c r="H18" s="14">
        <f t="shared" si="12"/>
        <v>0.13164999999999999</v>
      </c>
      <c r="I18" s="14">
        <f t="shared" si="12"/>
        <v>2.58E-2</v>
      </c>
      <c r="K18" s="14">
        <f t="shared" si="13"/>
        <v>2.6380000000000001E-2</v>
      </c>
      <c r="L18" s="15" t="str">
        <f t="shared" si="14"/>
        <v>Unresolved</v>
      </c>
      <c r="AB18" s="15">
        <v>55000</v>
      </c>
      <c r="AC18" s="24"/>
      <c r="AD18" s="24"/>
      <c r="AG18" s="15">
        <v>55000</v>
      </c>
      <c r="AH18" s="24"/>
      <c r="AI18" s="24"/>
      <c r="AJ18" s="19">
        <f t="shared" si="8"/>
        <v>0.15744999999999998</v>
      </c>
      <c r="AK18" s="19">
        <f t="shared" si="9"/>
        <v>0.10584999999999999</v>
      </c>
    </row>
    <row r="19" spans="2:37" x14ac:dyDescent="0.15">
      <c r="B19" s="15">
        <v>60000</v>
      </c>
      <c r="C19" s="29"/>
      <c r="D19" s="29"/>
      <c r="E19" s="29"/>
      <c r="F19" s="27"/>
      <c r="G19" s="27"/>
      <c r="H19" s="14">
        <f t="shared" si="12"/>
        <v>0.12428</v>
      </c>
      <c r="I19" s="14">
        <f t="shared" si="12"/>
        <v>2.7699999999999999E-2</v>
      </c>
      <c r="K19" s="14">
        <f t="shared" si="13"/>
        <v>2.682E-2</v>
      </c>
      <c r="L19" s="15" t="str">
        <f t="shared" si="14"/>
        <v>Unresolved</v>
      </c>
      <c r="AB19" s="15">
        <v>60000</v>
      </c>
      <c r="AC19" s="24"/>
      <c r="AD19" s="24"/>
      <c r="AG19" s="15">
        <v>60000</v>
      </c>
      <c r="AH19" s="24"/>
      <c r="AI19" s="24"/>
      <c r="AJ19" s="19">
        <f t="shared" si="8"/>
        <v>0.15198</v>
      </c>
      <c r="AK19" s="19">
        <f t="shared" si="9"/>
        <v>9.6579999999999999E-2</v>
      </c>
    </row>
    <row r="20" spans="2:37" x14ac:dyDescent="0.15">
      <c r="B20" s="15">
        <v>65000</v>
      </c>
      <c r="C20" s="29"/>
      <c r="D20" s="29"/>
      <c r="E20" s="29"/>
      <c r="F20" s="27"/>
      <c r="G20" s="27"/>
      <c r="H20" s="14">
        <f t="shared" si="12"/>
        <v>0.11992999999999999</v>
      </c>
      <c r="I20" s="14">
        <f t="shared" si="12"/>
        <v>3.0099999999999998E-2</v>
      </c>
      <c r="K20" s="14">
        <f t="shared" si="13"/>
        <v>2.9020000000000001E-2</v>
      </c>
      <c r="L20" s="15" t="str">
        <f t="shared" si="14"/>
        <v>Unresolved</v>
      </c>
      <c r="AB20" s="15">
        <v>65000</v>
      </c>
      <c r="AC20" s="24"/>
      <c r="AD20" s="24"/>
      <c r="AG20" s="15">
        <v>65000</v>
      </c>
      <c r="AH20" s="24"/>
      <c r="AI20" s="24"/>
      <c r="AJ20" s="19">
        <f t="shared" si="8"/>
        <v>0.15003</v>
      </c>
      <c r="AK20" s="19">
        <f t="shared" si="9"/>
        <v>8.9829999999999993E-2</v>
      </c>
    </row>
    <row r="21" spans="2:37" x14ac:dyDescent="0.15">
      <c r="B21" s="15">
        <v>70000</v>
      </c>
      <c r="C21" s="29"/>
      <c r="D21" s="29"/>
      <c r="E21" s="29"/>
      <c r="F21" s="27"/>
      <c r="G21" s="27"/>
      <c r="H21" s="14">
        <f t="shared" si="12"/>
        <v>0.10841999999999999</v>
      </c>
      <c r="I21" s="14">
        <f t="shared" si="12"/>
        <v>3.1900000000000005E-2</v>
      </c>
      <c r="K21" s="14">
        <f t="shared" si="13"/>
        <v>3.1789999999999999E-2</v>
      </c>
      <c r="L21" s="15" t="str">
        <f t="shared" si="14"/>
        <v>Unresolved</v>
      </c>
      <c r="AB21" s="15">
        <v>70000</v>
      </c>
      <c r="AC21" s="24"/>
      <c r="AD21" s="24"/>
      <c r="AG21" s="15">
        <v>70000</v>
      </c>
      <c r="AH21" s="24"/>
      <c r="AI21" s="24"/>
      <c r="AJ21" s="19">
        <f t="shared" si="8"/>
        <v>0.14032</v>
      </c>
      <c r="AK21" s="19">
        <f t="shared" si="9"/>
        <v>7.6519999999999977E-2</v>
      </c>
    </row>
    <row r="22" spans="2:37" x14ac:dyDescent="0.15">
      <c r="B22" s="15">
        <v>75000</v>
      </c>
      <c r="C22" s="29"/>
      <c r="D22" s="29"/>
      <c r="E22" s="29"/>
      <c r="F22" s="27"/>
      <c r="G22" s="27"/>
      <c r="H22" s="14">
        <f t="shared" si="12"/>
        <v>0.11634</v>
      </c>
      <c r="I22" s="14">
        <f t="shared" si="12"/>
        <v>3.39E-2</v>
      </c>
      <c r="K22" s="14">
        <f t="shared" si="13"/>
        <v>3.3760000000000005E-2</v>
      </c>
      <c r="L22" s="15" t="str">
        <f t="shared" si="14"/>
        <v>Unresolved</v>
      </c>
      <c r="AB22" s="15">
        <v>75000</v>
      </c>
      <c r="AC22" s="24"/>
      <c r="AD22" s="24"/>
      <c r="AG22" s="15">
        <v>75000</v>
      </c>
      <c r="AH22" s="24"/>
      <c r="AI22" s="24"/>
      <c r="AJ22" s="19">
        <f t="shared" si="8"/>
        <v>0.15023999999999998</v>
      </c>
      <c r="AK22" s="19">
        <f t="shared" si="9"/>
        <v>8.2439999999999999E-2</v>
      </c>
    </row>
    <row r="23" spans="2:37" x14ac:dyDescent="0.15">
      <c r="B23" s="15">
        <v>80000</v>
      </c>
      <c r="C23" s="29"/>
      <c r="D23" s="29"/>
      <c r="E23" s="29"/>
      <c r="F23" s="27"/>
      <c r="G23" s="27"/>
      <c r="H23" s="14">
        <f t="shared" si="12"/>
        <v>0.13771</v>
      </c>
      <c r="I23" s="14">
        <f t="shared" si="12"/>
        <v>4.0500000000000001E-2</v>
      </c>
      <c r="K23" s="14">
        <f t="shared" si="13"/>
        <v>4.512E-2</v>
      </c>
      <c r="L23" s="15" t="str">
        <f t="shared" si="14"/>
        <v>Unresolved</v>
      </c>
      <c r="AB23" s="15">
        <v>80000</v>
      </c>
      <c r="AC23" s="24"/>
      <c r="AD23" s="24"/>
      <c r="AG23" s="15">
        <v>80000</v>
      </c>
      <c r="AH23" s="24"/>
      <c r="AI23" s="24"/>
      <c r="AJ23" s="19">
        <f t="shared" si="8"/>
        <v>0.17821000000000001</v>
      </c>
      <c r="AK23" s="19">
        <f t="shared" si="9"/>
        <v>9.7209999999999991E-2</v>
      </c>
    </row>
    <row r="24" spans="2:37" x14ac:dyDescent="0.15">
      <c r="B24" s="15">
        <v>85000</v>
      </c>
      <c r="C24" s="29"/>
      <c r="D24" s="29"/>
      <c r="E24" s="29"/>
      <c r="F24" s="27"/>
      <c r="G24" s="27"/>
      <c r="H24" s="19">
        <f>1000*C100</f>
        <v>0.17817000000000002</v>
      </c>
      <c r="I24" s="14">
        <f>1000*D100</f>
        <v>0</v>
      </c>
      <c r="K24" s="14">
        <f t="shared" si="13"/>
        <v>5.9389999999999998E-2</v>
      </c>
      <c r="L24" s="15" t="str">
        <f t="shared" si="14"/>
        <v>Non-detection</v>
      </c>
      <c r="AB24" s="15">
        <v>85000</v>
      </c>
      <c r="AC24" s="24"/>
      <c r="AD24" s="24"/>
      <c r="AG24" s="15">
        <v>85000</v>
      </c>
      <c r="AH24" s="24"/>
      <c r="AI24" s="24"/>
      <c r="AJ24" s="19">
        <f t="shared" si="8"/>
        <v>0.17817000000000002</v>
      </c>
      <c r="AK24" s="19">
        <f t="shared" si="9"/>
        <v>0.17817000000000002</v>
      </c>
    </row>
    <row r="25" spans="2:37" x14ac:dyDescent="0.15">
      <c r="B25" s="15"/>
      <c r="C25" s="15"/>
      <c r="D25" s="15"/>
      <c r="E25" s="15"/>
      <c r="AB25" s="15"/>
      <c r="AG25" s="15"/>
      <c r="AH25" s="24"/>
      <c r="AI25" s="24"/>
      <c r="AJ25" s="19"/>
      <c r="AK25" s="19"/>
    </row>
    <row r="26" spans="2:37" x14ac:dyDescent="0.15">
      <c r="B26" s="15" t="s">
        <v>7</v>
      </c>
      <c r="C26" s="15" t="s">
        <v>35</v>
      </c>
      <c r="D26" s="15" t="s">
        <v>44</v>
      </c>
      <c r="E26" s="15" t="s">
        <v>43</v>
      </c>
      <c r="F26" s="15" t="s">
        <v>34</v>
      </c>
      <c r="G26" s="15" t="s">
        <v>10</v>
      </c>
      <c r="H26" s="14" t="s">
        <v>35</v>
      </c>
      <c r="I26" s="15" t="s">
        <v>44</v>
      </c>
      <c r="J26" s="15" t="s">
        <v>43</v>
      </c>
      <c r="K26" s="15" t="s">
        <v>34</v>
      </c>
      <c r="L26" s="15" t="s">
        <v>10</v>
      </c>
    </row>
    <row r="27" spans="2:37" x14ac:dyDescent="0.15">
      <c r="B27" s="15">
        <f>LOG(B4)</f>
        <v>3.0413926851582249</v>
      </c>
      <c r="C27" s="15">
        <f>LOG(C4)</f>
        <v>-0.21558956351864342</v>
      </c>
      <c r="D27" s="15">
        <f>AH27-C27</f>
        <v>4.8104862861476749E-2</v>
      </c>
      <c r="E27" s="15">
        <f>C27-AI27</f>
        <v>5.410469305854157E-2</v>
      </c>
      <c r="F27" s="15">
        <f>LOG(F4)</f>
        <v>-1.4776862048433326</v>
      </c>
      <c r="G27" s="15" t="str">
        <f>G4</f>
        <v>Resolved</v>
      </c>
      <c r="H27" s="27"/>
      <c r="I27" s="27"/>
      <c r="J27" s="27"/>
      <c r="K27" s="27"/>
      <c r="L27" s="27"/>
      <c r="AG27" s="14">
        <f>LOG(AG4)</f>
        <v>3.0413926851582249</v>
      </c>
      <c r="AH27" s="14">
        <f>LOG(AH4)</f>
        <v>-0.16748470065716667</v>
      </c>
      <c r="AI27" s="14">
        <f t="shared" ref="AI27" si="15">LOG(AI4)</f>
        <v>-0.26969425657718499</v>
      </c>
      <c r="AJ27" s="24"/>
      <c r="AK27" s="24"/>
    </row>
    <row r="28" spans="2:37" x14ac:dyDescent="0.15">
      <c r="B28" s="15">
        <f t="shared" ref="B28:B47" si="16">LOG(B5)</f>
        <v>3.564073978977147</v>
      </c>
      <c r="C28" s="29"/>
      <c r="D28" s="29"/>
      <c r="E28" s="27"/>
      <c r="F28" s="29"/>
      <c r="G28" s="27"/>
      <c r="H28" s="15">
        <f t="shared" ref="H28:H34" si="17">LOG(H5)</f>
        <v>-0.91218310206447062</v>
      </c>
      <c r="I28" s="15">
        <f>AJ28-H28</f>
        <v>5.0201441678733638E-2</v>
      </c>
      <c r="J28" s="15">
        <f>H28-AK28</f>
        <v>5.677218135182438E-2</v>
      </c>
      <c r="K28" s="15">
        <f t="shared" ref="K28:K34" si="18">LOG(K5)</f>
        <v>-1.8195873671616762</v>
      </c>
      <c r="L28" s="15" t="str">
        <f>L5</f>
        <v>Unresolved</v>
      </c>
      <c r="AG28" s="14">
        <f t="shared" ref="AG28:AK28" si="19">LOG(AG5)</f>
        <v>3.564073978977147</v>
      </c>
      <c r="AH28" s="24"/>
      <c r="AI28" s="24"/>
      <c r="AJ28" s="14">
        <f t="shared" si="19"/>
        <v>-0.86198166038573698</v>
      </c>
      <c r="AK28" s="14">
        <f t="shared" si="19"/>
        <v>-0.968955283416295</v>
      </c>
    </row>
    <row r="29" spans="2:37" x14ac:dyDescent="0.15">
      <c r="B29" s="15">
        <f t="shared" si="16"/>
        <v>3.6989700043360187</v>
      </c>
      <c r="C29" s="15">
        <f t="shared" ref="C29:C36" si="20">LOG(C6)</f>
        <v>-0.31281897041507656</v>
      </c>
      <c r="D29" s="15">
        <f t="shared" ref="D29:D37" si="21">AH29-C29</f>
        <v>3.5543361542467344E-2</v>
      </c>
      <c r="E29" s="15">
        <f t="shared" ref="E29:E38" si="22">C29-AI29</f>
        <v>3.8713678178083688E-2</v>
      </c>
      <c r="F29" s="15">
        <f t="shared" ref="F29:F38" si="23">LOG(F6)</f>
        <v>-1.3713046172859766</v>
      </c>
      <c r="G29" s="15" t="str">
        <f t="shared" ref="G29:G38" si="24">G6</f>
        <v>Unresolved</v>
      </c>
      <c r="H29" s="15">
        <f t="shared" si="17"/>
        <v>-0.92103595549823947</v>
      </c>
      <c r="I29" s="15">
        <f t="shared" ref="I29:I34" si="25">AJ29-H29</f>
        <v>5.1819870087195685E-2</v>
      </c>
      <c r="J29" s="15">
        <f t="shared" ref="J29:J34" si="26">H29-AK29</f>
        <v>5.8851474936293502E-2</v>
      </c>
      <c r="K29" s="15">
        <f t="shared" si="18"/>
        <v>-1.8141746403870378</v>
      </c>
      <c r="L29" s="15" t="str">
        <f t="shared" ref="L29:L47" si="27">L6</f>
        <v>Unresolved</v>
      </c>
      <c r="AG29" s="14">
        <f t="shared" ref="AG29:AK29" si="28">LOG(AG6)</f>
        <v>3.6989700043360187</v>
      </c>
      <c r="AH29" s="14">
        <f t="shared" si="28"/>
        <v>-0.27727560887260921</v>
      </c>
      <c r="AI29" s="14">
        <f t="shared" si="28"/>
        <v>-0.35153264859316025</v>
      </c>
      <c r="AJ29" s="14">
        <f t="shared" si="28"/>
        <v>-0.86921608541104378</v>
      </c>
      <c r="AK29" s="14">
        <f t="shared" si="28"/>
        <v>-0.97988743043453297</v>
      </c>
    </row>
    <row r="30" spans="2:37" x14ac:dyDescent="0.15">
      <c r="B30" s="15">
        <f t="shared" si="16"/>
        <v>4</v>
      </c>
      <c r="C30" s="15">
        <f t="shared" si="20"/>
        <v>-0.25133915968653409</v>
      </c>
      <c r="D30" s="15">
        <f t="shared" si="21"/>
        <v>3.7742723118215027E-2</v>
      </c>
      <c r="E30" s="15">
        <f t="shared" si="22"/>
        <v>4.1337686218152647E-2</v>
      </c>
      <c r="F30" s="15">
        <f t="shared" si="23"/>
        <v>-1.2959353205914326</v>
      </c>
      <c r="G30" s="15" t="str">
        <f t="shared" si="24"/>
        <v>Unresolved</v>
      </c>
      <c r="H30" s="15">
        <f t="shared" si="17"/>
        <v>-0.91998715289207211</v>
      </c>
      <c r="I30" s="15">
        <f t="shared" si="25"/>
        <v>5.4578587602949202E-2</v>
      </c>
      <c r="J30" s="15">
        <f t="shared" si="26"/>
        <v>6.2436978716853497E-2</v>
      </c>
      <c r="K30" s="15">
        <f t="shared" si="18"/>
        <v>-1.7783250029292312</v>
      </c>
      <c r="L30" s="15" t="str">
        <f t="shared" si="27"/>
        <v>Unresolved</v>
      </c>
      <c r="AG30" s="14">
        <f t="shared" ref="AG30:AK30" si="29">LOG(AG7)</f>
        <v>4</v>
      </c>
      <c r="AH30" s="14">
        <f t="shared" si="29"/>
        <v>-0.21359643656831906</v>
      </c>
      <c r="AI30" s="14">
        <f t="shared" si="29"/>
        <v>-0.29267684590468673</v>
      </c>
      <c r="AJ30" s="14">
        <f t="shared" si="29"/>
        <v>-0.86540856528912291</v>
      </c>
      <c r="AK30" s="14">
        <f t="shared" si="29"/>
        <v>-0.98242413160892561</v>
      </c>
    </row>
    <row r="31" spans="2:37" x14ac:dyDescent="0.15">
      <c r="B31" s="15">
        <f t="shared" si="16"/>
        <v>4.1760912590556813</v>
      </c>
      <c r="C31" s="15">
        <f t="shared" si="20"/>
        <v>-0.35379238779331484</v>
      </c>
      <c r="D31" s="15">
        <f t="shared" si="21"/>
        <v>4.6903503255456058E-2</v>
      </c>
      <c r="E31" s="15">
        <f t="shared" si="22"/>
        <v>5.258930407714929E-2</v>
      </c>
      <c r="F31" s="15">
        <f t="shared" si="23"/>
        <v>-1.2994693430214084</v>
      </c>
      <c r="G31" s="15" t="str">
        <f t="shared" si="24"/>
        <v>Unresolved</v>
      </c>
      <c r="H31" s="15">
        <f t="shared" si="17"/>
        <v>-0.93453232753434867</v>
      </c>
      <c r="I31" s="15">
        <f t="shared" si="25"/>
        <v>5.6977583816304467E-2</v>
      </c>
      <c r="J31" s="15">
        <f t="shared" si="26"/>
        <v>6.5597980357383401E-2</v>
      </c>
      <c r="K31" s="15">
        <f t="shared" si="18"/>
        <v>-1.7788466780452949</v>
      </c>
      <c r="L31" s="15" t="str">
        <f t="shared" si="27"/>
        <v>Unresolved</v>
      </c>
      <c r="AG31" s="14">
        <f t="shared" ref="AG31:AK31" si="30">LOG(AG8)</f>
        <v>4.1760912590556813</v>
      </c>
      <c r="AH31" s="14">
        <f t="shared" si="30"/>
        <v>-0.30688888453785879</v>
      </c>
      <c r="AI31" s="14">
        <f t="shared" si="30"/>
        <v>-0.40638169187046413</v>
      </c>
      <c r="AJ31" s="14">
        <f t="shared" si="30"/>
        <v>-0.87755474371804421</v>
      </c>
      <c r="AK31" s="14">
        <f t="shared" si="30"/>
        <v>-1.0001303078917321</v>
      </c>
    </row>
    <row r="32" spans="2:37" x14ac:dyDescent="0.15">
      <c r="B32" s="15">
        <f t="shared" si="16"/>
        <v>4.3010299956639813</v>
      </c>
      <c r="C32" s="15">
        <f t="shared" si="20"/>
        <v>-0.39120662601306921</v>
      </c>
      <c r="D32" s="15">
        <f t="shared" si="21"/>
        <v>6.1684412060344196E-2</v>
      </c>
      <c r="E32" s="15">
        <f t="shared" si="22"/>
        <v>7.1919425057969499E-2</v>
      </c>
      <c r="F32" s="15">
        <f t="shared" si="23"/>
        <v>-1.2166682371125761</v>
      </c>
      <c r="G32" s="15" t="str">
        <f t="shared" si="24"/>
        <v>Unresolved</v>
      </c>
      <c r="H32" s="15">
        <f t="shared" si="17"/>
        <v>-0.93956659329725978</v>
      </c>
      <c r="I32" s="15">
        <f t="shared" si="25"/>
        <v>5.958084537532693E-2</v>
      </c>
      <c r="J32" s="15">
        <f t="shared" si="26"/>
        <v>6.907440406479004E-2</v>
      </c>
      <c r="K32" s="15">
        <f t="shared" si="18"/>
        <v>-1.7624562618571256</v>
      </c>
      <c r="L32" s="15" t="str">
        <f t="shared" si="27"/>
        <v>Unresolved</v>
      </c>
      <c r="AG32" s="14">
        <f t="shared" ref="AG32:AK32" si="31">LOG(AG9)</f>
        <v>4.3010299956639813</v>
      </c>
      <c r="AH32" s="14">
        <f t="shared" si="31"/>
        <v>-0.32952221395272502</v>
      </c>
      <c r="AI32" s="14">
        <f t="shared" si="31"/>
        <v>-0.46312605107103871</v>
      </c>
      <c r="AJ32" s="14">
        <f t="shared" si="31"/>
        <v>-0.87998574792193285</v>
      </c>
      <c r="AK32" s="14">
        <f t="shared" si="31"/>
        <v>-1.0086409973620498</v>
      </c>
    </row>
    <row r="33" spans="2:37" x14ac:dyDescent="0.15">
      <c r="B33" s="15">
        <f t="shared" si="16"/>
        <v>4.3979400086720375</v>
      </c>
      <c r="C33" s="15">
        <f t="shared" si="20"/>
        <v>-0.62147491845508573</v>
      </c>
      <c r="D33" s="15">
        <f t="shared" si="21"/>
        <v>0</v>
      </c>
      <c r="E33" s="15">
        <f t="shared" si="22"/>
        <v>0</v>
      </c>
      <c r="F33" s="15">
        <f t="shared" si="23"/>
        <v>-1.0985961731747482</v>
      </c>
      <c r="G33" s="15" t="str">
        <f t="shared" si="24"/>
        <v>Non-detection</v>
      </c>
      <c r="H33" s="15">
        <f t="shared" si="17"/>
        <v>-0.92562246235519574</v>
      </c>
      <c r="I33" s="15">
        <f t="shared" si="25"/>
        <v>6.1009570737582064E-2</v>
      </c>
      <c r="J33" s="15">
        <f t="shared" si="26"/>
        <v>7.1003183625054422E-2</v>
      </c>
      <c r="K33" s="15">
        <f t="shared" si="18"/>
        <v>-1.7396900542050799</v>
      </c>
      <c r="L33" s="15" t="str">
        <f t="shared" si="27"/>
        <v>Unresolved</v>
      </c>
      <c r="AG33" s="14">
        <f t="shared" ref="AG33:AK33" si="32">LOG(AG10)</f>
        <v>4.3979400086720375</v>
      </c>
      <c r="AH33" s="14">
        <f t="shared" si="32"/>
        <v>-0.62147491845508573</v>
      </c>
      <c r="AI33" s="14">
        <f t="shared" si="32"/>
        <v>-0.62147491845508573</v>
      </c>
      <c r="AJ33" s="14">
        <f t="shared" si="32"/>
        <v>-0.86461289161761368</v>
      </c>
      <c r="AK33" s="14">
        <f t="shared" si="32"/>
        <v>-0.99662564598025016</v>
      </c>
    </row>
    <row r="34" spans="2:37" x14ac:dyDescent="0.15">
      <c r="B34" s="15">
        <f t="shared" si="16"/>
        <v>4.4771212547196626</v>
      </c>
      <c r="C34" s="28">
        <f t="shared" si="20"/>
        <v>-0.43191566868460596</v>
      </c>
      <c r="D34" s="28">
        <f t="shared" si="21"/>
        <v>0</v>
      </c>
      <c r="E34" s="28">
        <f t="shared" si="22"/>
        <v>0</v>
      </c>
      <c r="F34" s="28">
        <f t="shared" si="23"/>
        <v>-0.90903692340426834</v>
      </c>
      <c r="G34" s="28" t="str">
        <f t="shared" si="24"/>
        <v>Non-detection</v>
      </c>
      <c r="H34" s="15">
        <f t="shared" si="17"/>
        <v>-0.90059562765445766</v>
      </c>
      <c r="I34" s="15">
        <f t="shared" si="25"/>
        <v>6.2622060075634645E-2</v>
      </c>
      <c r="J34" s="15">
        <f t="shared" si="26"/>
        <v>7.3198075262423945E-2</v>
      </c>
      <c r="K34" s="15">
        <f t="shared" si="18"/>
        <v>-1.7126462272852534</v>
      </c>
      <c r="L34" s="15" t="str">
        <f t="shared" si="27"/>
        <v>Unresolved</v>
      </c>
      <c r="AG34" s="14">
        <f t="shared" ref="AG34:AK34" si="33">LOG(AG11)</f>
        <v>4.4771212547196626</v>
      </c>
      <c r="AH34" s="14">
        <f t="shared" si="33"/>
        <v>-0.43191566868460596</v>
      </c>
      <c r="AI34" s="14">
        <f t="shared" si="33"/>
        <v>-0.43191566868460596</v>
      </c>
      <c r="AJ34" s="14">
        <f t="shared" si="33"/>
        <v>-0.83797356757882302</v>
      </c>
      <c r="AK34" s="14">
        <f t="shared" si="33"/>
        <v>-0.97379370291688161</v>
      </c>
    </row>
    <row r="35" spans="2:37" x14ac:dyDescent="0.15">
      <c r="B35" s="15">
        <f t="shared" si="16"/>
        <v>4.5314789170422554</v>
      </c>
      <c r="C35" s="28">
        <f t="shared" si="20"/>
        <v>-0.21204387671606814</v>
      </c>
      <c r="D35" s="28">
        <f t="shared" si="21"/>
        <v>9.6102523810006585E-2</v>
      </c>
      <c r="E35" s="28">
        <f t="shared" si="22"/>
        <v>0.12359624873279071</v>
      </c>
      <c r="F35" s="28">
        <f t="shared" si="23"/>
        <v>-0.83268266525182388</v>
      </c>
      <c r="G35" s="28" t="str">
        <f t="shared" si="24"/>
        <v>Unresolved</v>
      </c>
      <c r="H35" s="23"/>
      <c r="I35" s="23"/>
      <c r="J35" s="23"/>
      <c r="K35" s="23"/>
      <c r="L35" s="23"/>
      <c r="AG35" s="14">
        <f t="shared" ref="AG35:AI35" si="34">LOG(AG12)</f>
        <v>4.5314789170422554</v>
      </c>
      <c r="AH35" s="14">
        <f t="shared" si="34"/>
        <v>-0.11594135290606156</v>
      </c>
      <c r="AI35" s="14">
        <f t="shared" si="34"/>
        <v>-0.33564012544885885</v>
      </c>
      <c r="AJ35" s="24"/>
      <c r="AK35" s="24"/>
    </row>
    <row r="36" spans="2:37" x14ac:dyDescent="0.15">
      <c r="B36" s="15">
        <f t="shared" si="16"/>
        <v>4.5440680443502757</v>
      </c>
      <c r="C36" s="28">
        <f t="shared" si="20"/>
        <v>-0.23023877370066934</v>
      </c>
      <c r="D36" s="28">
        <f t="shared" si="21"/>
        <v>0.11419531527469202</v>
      </c>
      <c r="E36" s="28">
        <f t="shared" si="22"/>
        <v>0.15537027939122136</v>
      </c>
      <c r="F36" s="28">
        <f t="shared" si="23"/>
        <v>-0.78701381526333181</v>
      </c>
      <c r="G36" s="28" t="str">
        <f t="shared" si="24"/>
        <v>Unresolved</v>
      </c>
      <c r="H36" s="15">
        <f>LOG(H13)</f>
        <v>-0.91883278528652756</v>
      </c>
      <c r="I36" s="15">
        <f t="shared" ref="I36:I47" si="35">AJ36-H36</f>
        <v>6.7281188809911407E-2</v>
      </c>
      <c r="J36" s="15">
        <f t="shared" ref="J36:J47" si="36">H36-AK36</f>
        <v>7.9649837889968045E-2</v>
      </c>
      <c r="K36" s="15">
        <f>LOG(K13)</f>
        <v>-1.7139928779205253</v>
      </c>
      <c r="L36" s="15" t="str">
        <f t="shared" si="27"/>
        <v>Unresolved</v>
      </c>
      <c r="M36" s="15"/>
      <c r="AG36" s="14">
        <f t="shared" ref="AG36:AK36" si="37">LOG(AG13)</f>
        <v>4.5440680443502757</v>
      </c>
      <c r="AH36" s="14">
        <f t="shared" si="37"/>
        <v>-0.11604345842597731</v>
      </c>
      <c r="AI36" s="14">
        <f t="shared" si="37"/>
        <v>-0.3856090530918907</v>
      </c>
      <c r="AJ36" s="14">
        <f t="shared" si="37"/>
        <v>-0.85155159647661616</v>
      </c>
      <c r="AK36" s="14">
        <f t="shared" si="37"/>
        <v>-0.99848262317649561</v>
      </c>
    </row>
    <row r="37" spans="2:37" x14ac:dyDescent="0.15">
      <c r="B37" s="15">
        <f t="shared" si="16"/>
        <v>4.6020599913279625</v>
      </c>
      <c r="C37" s="28">
        <f t="shared" ref="C37" si="38">LOG(C14)</f>
        <v>-0.23023877370066934</v>
      </c>
      <c r="D37" s="28">
        <f t="shared" si="21"/>
        <v>0.11419531527469202</v>
      </c>
      <c r="E37" s="28">
        <f t="shared" si="22"/>
        <v>0.15537027939122136</v>
      </c>
      <c r="F37" s="28">
        <f t="shared" si="23"/>
        <v>-0.68845804159880497</v>
      </c>
      <c r="G37" s="28" t="str">
        <f t="shared" si="24"/>
        <v>Non-detection</v>
      </c>
      <c r="H37" s="15">
        <f t="shared" ref="H37" si="39">LOG(H14)</f>
        <v>-0.88930930272624564</v>
      </c>
      <c r="I37" s="15">
        <f t="shared" si="35"/>
        <v>6.7220778820255012E-2</v>
      </c>
      <c r="J37" s="15">
        <f t="shared" si="36"/>
        <v>7.9565121542188977E-2</v>
      </c>
      <c r="K37" s="15">
        <f>LOG(K14)</f>
        <v>-1.6757175447023074</v>
      </c>
      <c r="L37" s="15" t="str">
        <f t="shared" si="27"/>
        <v>Unresolved</v>
      </c>
      <c r="AG37" s="14">
        <f t="shared" ref="AG37:AK37" si="40">LOG(AG14)</f>
        <v>4.6020599913279625</v>
      </c>
      <c r="AH37" s="14">
        <f t="shared" si="40"/>
        <v>-0.11604345842597731</v>
      </c>
      <c r="AI37" s="14">
        <f t="shared" si="40"/>
        <v>-0.3856090530918907</v>
      </c>
      <c r="AJ37" s="14">
        <f t="shared" si="40"/>
        <v>-0.82208852390599063</v>
      </c>
      <c r="AK37" s="14">
        <f t="shared" si="40"/>
        <v>-0.96887442426843462</v>
      </c>
    </row>
    <row r="38" spans="2:37" x14ac:dyDescent="0.15">
      <c r="B38" s="15">
        <f t="shared" si="16"/>
        <v>4.6334684555795862</v>
      </c>
      <c r="C38" s="28">
        <f t="shared" ref="C38" si="41">LOG(C15)</f>
        <v>-0.21133678687914262</v>
      </c>
      <c r="D38" s="28">
        <f>AH38-C38</f>
        <v>0</v>
      </c>
      <c r="E38" s="28">
        <f t="shared" si="22"/>
        <v>0</v>
      </c>
      <c r="F38" s="28">
        <f t="shared" si="23"/>
        <v>-0.50598462524285626</v>
      </c>
      <c r="G38" s="28" t="str">
        <f t="shared" si="24"/>
        <v>Non-detection</v>
      </c>
      <c r="H38" s="29"/>
      <c r="I38" s="23"/>
      <c r="J38" s="23"/>
      <c r="K38" s="29"/>
      <c r="L38" s="23"/>
      <c r="AG38" s="14">
        <f t="shared" ref="AG38:AI38" si="42">LOG(AG15)</f>
        <v>4.6334684555795862</v>
      </c>
      <c r="AH38" s="14">
        <f t="shared" si="42"/>
        <v>-0.21133678687914262</v>
      </c>
      <c r="AI38" s="14">
        <f t="shared" si="42"/>
        <v>-0.21133678687914262</v>
      </c>
      <c r="AJ38" s="24"/>
      <c r="AK38" s="24"/>
    </row>
    <row r="39" spans="2:37" x14ac:dyDescent="0.15">
      <c r="B39" s="15">
        <f t="shared" si="16"/>
        <v>4.653212513775344</v>
      </c>
      <c r="C39" s="27"/>
      <c r="D39" s="27"/>
      <c r="E39" s="27"/>
      <c r="F39" s="27"/>
      <c r="G39" s="27"/>
      <c r="H39" s="15">
        <f t="shared" ref="H39:H47" si="43">LOG(H16)</f>
        <v>-0.88160298804842463</v>
      </c>
      <c r="I39" s="15">
        <f t="shared" si="35"/>
        <v>6.8672259278848125E-2</v>
      </c>
      <c r="J39" s="15">
        <f t="shared" si="36"/>
        <v>8.1608478843855248E-2</v>
      </c>
      <c r="K39" s="15">
        <f t="shared" ref="K39:K47" si="44">LOG(K16)</f>
        <v>-1.6542343068855119</v>
      </c>
      <c r="L39" s="15" t="str">
        <f t="shared" si="27"/>
        <v>Unresolved</v>
      </c>
      <c r="AG39" s="14">
        <f t="shared" ref="AG39:AK39" si="45">LOG(AG16)</f>
        <v>4.653212513775344</v>
      </c>
      <c r="AH39" s="24"/>
      <c r="AI39" s="24"/>
      <c r="AJ39" s="14">
        <f t="shared" si="45"/>
        <v>-0.8129307287695765</v>
      </c>
      <c r="AK39" s="14">
        <f t="shared" si="45"/>
        <v>-0.96321146689227988</v>
      </c>
    </row>
    <row r="40" spans="2:37" x14ac:dyDescent="0.15">
      <c r="B40" s="15">
        <f t="shared" si="16"/>
        <v>4.6989700043360187</v>
      </c>
      <c r="C40" s="27"/>
      <c r="D40" s="27"/>
      <c r="E40" s="27"/>
      <c r="F40" s="27"/>
      <c r="G40" s="27"/>
      <c r="H40" s="15">
        <f t="shared" si="43"/>
        <v>-0.89530808109979454</v>
      </c>
      <c r="I40" s="15">
        <f t="shared" si="35"/>
        <v>7.6751476641692351E-2</v>
      </c>
      <c r="J40" s="15">
        <f t="shared" si="36"/>
        <v>9.3290658975461627E-2</v>
      </c>
      <c r="K40" s="15">
        <f t="shared" si="44"/>
        <v>-1.6001532872870776</v>
      </c>
      <c r="L40" s="15" t="str">
        <f t="shared" si="27"/>
        <v>Unresolved</v>
      </c>
      <c r="AG40" s="14">
        <f t="shared" ref="AG40:AK40" si="46">LOG(AG17)</f>
        <v>4.6989700043360187</v>
      </c>
      <c r="AH40" s="24"/>
      <c r="AI40" s="24"/>
      <c r="AJ40" s="14">
        <f t="shared" si="46"/>
        <v>-0.81855660445810219</v>
      </c>
      <c r="AK40" s="14">
        <f t="shared" si="46"/>
        <v>-0.98859874007525617</v>
      </c>
    </row>
    <row r="41" spans="2:37" x14ac:dyDescent="0.15">
      <c r="B41" s="15">
        <f t="shared" si="16"/>
        <v>4.7403626894942441</v>
      </c>
      <c r="C41" s="27"/>
      <c r="D41" s="27"/>
      <c r="E41" s="27"/>
      <c r="F41" s="27"/>
      <c r="G41" s="27"/>
      <c r="H41" s="15">
        <f t="shared" si="43"/>
        <v>-0.88057913655791309</v>
      </c>
      <c r="I41" s="15">
        <f t="shared" si="35"/>
        <v>7.7721801530475698E-2</v>
      </c>
      <c r="J41" s="15">
        <f t="shared" si="36"/>
        <v>9.473000108665619E-2</v>
      </c>
      <c r="K41" s="15">
        <f t="shared" si="44"/>
        <v>-1.5787252087896535</v>
      </c>
      <c r="L41" s="15" t="str">
        <f t="shared" si="27"/>
        <v>Unresolved</v>
      </c>
      <c r="AG41" s="14">
        <f t="shared" ref="AG41:AK41" si="47">LOG(AG18)</f>
        <v>4.7403626894942441</v>
      </c>
      <c r="AH41" s="24"/>
      <c r="AI41" s="24"/>
      <c r="AJ41" s="14">
        <f t="shared" si="47"/>
        <v>-0.80285733502743739</v>
      </c>
      <c r="AK41" s="14">
        <f t="shared" si="47"/>
        <v>-0.97530913764456928</v>
      </c>
    </row>
    <row r="42" spans="2:37" x14ac:dyDescent="0.15">
      <c r="B42" s="15">
        <f t="shared" si="16"/>
        <v>4.7781512503836439</v>
      </c>
      <c r="C42" s="27"/>
      <c r="D42" s="27"/>
      <c r="E42" s="27"/>
      <c r="F42" s="27"/>
      <c r="G42" s="27"/>
      <c r="H42" s="15">
        <f t="shared" si="43"/>
        <v>-0.90559875541706314</v>
      </c>
      <c r="I42" s="15">
        <f t="shared" si="35"/>
        <v>8.7385195591254794E-2</v>
      </c>
      <c r="J42" s="15">
        <f t="shared" si="36"/>
        <v>0.10951404351860916</v>
      </c>
      <c r="K42" s="15">
        <f t="shared" si="44"/>
        <v>-1.57154122648442</v>
      </c>
      <c r="L42" s="15" t="str">
        <f t="shared" si="27"/>
        <v>Unresolved</v>
      </c>
      <c r="AG42" s="14">
        <f t="shared" ref="AG42:AK42" si="48">LOG(AG19)</f>
        <v>4.7781512503836439</v>
      </c>
      <c r="AH42" s="24"/>
      <c r="AI42" s="24"/>
      <c r="AJ42" s="14">
        <f t="shared" si="48"/>
        <v>-0.81821355982580835</v>
      </c>
      <c r="AK42" s="14">
        <f t="shared" si="48"/>
        <v>-1.0151127989356723</v>
      </c>
    </row>
    <row r="43" spans="2:37" x14ac:dyDescent="0.15">
      <c r="B43" s="15">
        <f t="shared" si="16"/>
        <v>4.8129133566428557</v>
      </c>
      <c r="C43" s="27"/>
      <c r="D43" s="27"/>
      <c r="E43" s="27"/>
      <c r="F43" s="27"/>
      <c r="G43" s="27"/>
      <c r="H43" s="15">
        <f t="shared" si="43"/>
        <v>-0.92107216631928046</v>
      </c>
      <c r="I43" s="15">
        <f t="shared" si="35"/>
        <v>9.7250275586610702E-2</v>
      </c>
      <c r="J43" s="15">
        <f t="shared" si="36"/>
        <v>0.12550643399968431</v>
      </c>
      <c r="K43" s="15">
        <f t="shared" si="44"/>
        <v>-1.537302591898283</v>
      </c>
      <c r="L43" s="15" t="str">
        <f t="shared" si="27"/>
        <v>Unresolved</v>
      </c>
      <c r="AG43" s="14">
        <f t="shared" ref="AG43:AK43" si="49">LOG(AG20)</f>
        <v>4.8129133566428557</v>
      </c>
      <c r="AH43" s="24"/>
      <c r="AI43" s="24"/>
      <c r="AJ43" s="14">
        <f t="shared" si="49"/>
        <v>-0.82382189073266976</v>
      </c>
      <c r="AK43" s="14">
        <f t="shared" si="49"/>
        <v>-1.0465786003189648</v>
      </c>
    </row>
    <row r="44" spans="2:37" x14ac:dyDescent="0.15">
      <c r="B44" s="15">
        <f t="shared" si="16"/>
        <v>4.8450980400142569</v>
      </c>
      <c r="C44" s="27"/>
      <c r="D44" s="27"/>
      <c r="E44" s="27"/>
      <c r="F44" s="27"/>
      <c r="G44" s="27"/>
      <c r="H44" s="15">
        <f t="shared" si="43"/>
        <v>-0.96489059705542457</v>
      </c>
      <c r="I44" s="15">
        <f t="shared" si="35"/>
        <v>0.11201017307738992</v>
      </c>
      <c r="J44" s="15">
        <f t="shared" si="36"/>
        <v>0.1513344415893173</v>
      </c>
      <c r="K44" s="15">
        <f t="shared" si="44"/>
        <v>-1.4977094720852271</v>
      </c>
      <c r="L44" s="15" t="str">
        <f t="shared" si="27"/>
        <v>Unresolved</v>
      </c>
      <c r="AG44" s="14">
        <f t="shared" ref="AG44:AK44" si="50">LOG(AG21)</f>
        <v>4.8450980400142569</v>
      </c>
      <c r="AH44" s="24"/>
      <c r="AI44" s="24"/>
      <c r="AJ44" s="14">
        <f t="shared" si="50"/>
        <v>-0.85288042397803465</v>
      </c>
      <c r="AK44" s="14">
        <f t="shared" si="50"/>
        <v>-1.1162250386447419</v>
      </c>
    </row>
    <row r="45" spans="2:37" x14ac:dyDescent="0.15">
      <c r="B45" s="15">
        <f t="shared" si="16"/>
        <v>4.8750612633917001</v>
      </c>
      <c r="C45" s="27"/>
      <c r="D45" s="27"/>
      <c r="E45" s="27"/>
      <c r="F45" s="27"/>
      <c r="G45" s="27"/>
      <c r="H45" s="15">
        <f t="shared" si="43"/>
        <v>-0.93427094053765103</v>
      </c>
      <c r="I45" s="15">
        <f t="shared" si="35"/>
        <v>0.11105651545968664</v>
      </c>
      <c r="J45" s="15">
        <f t="shared" si="36"/>
        <v>0.14959107635517377</v>
      </c>
      <c r="K45" s="15">
        <f t="shared" si="44"/>
        <v>-1.4715975620463826</v>
      </c>
      <c r="L45" s="15" t="str">
        <f t="shared" si="27"/>
        <v>Unresolved</v>
      </c>
      <c r="AG45" s="14">
        <f t="shared" ref="AG45:AK45" si="51">LOG(AG22)</f>
        <v>4.8750612633917001</v>
      </c>
      <c r="AH45" s="24"/>
      <c r="AI45" s="24"/>
      <c r="AJ45" s="14">
        <f t="shared" si="51"/>
        <v>-0.82321442507796438</v>
      </c>
      <c r="AK45" s="14">
        <f t="shared" si="51"/>
        <v>-1.0838620168928248</v>
      </c>
    </row>
    <row r="46" spans="2:37" x14ac:dyDescent="0.15">
      <c r="B46" s="15">
        <f t="shared" si="16"/>
        <v>4.9030899869919438</v>
      </c>
      <c r="C46" s="27"/>
      <c r="D46" s="27"/>
      <c r="E46" s="27"/>
      <c r="F46" s="27"/>
      <c r="G46" s="27"/>
      <c r="H46" s="15">
        <f t="shared" si="43"/>
        <v>-0.86103452171017303</v>
      </c>
      <c r="I46" s="15">
        <f t="shared" si="35"/>
        <v>0.11196659191028646</v>
      </c>
      <c r="J46" s="15">
        <f t="shared" si="36"/>
        <v>0.15125453515952103</v>
      </c>
      <c r="K46" s="15">
        <f t="shared" si="44"/>
        <v>-1.3456309090247141</v>
      </c>
      <c r="L46" s="15" t="str">
        <f t="shared" si="27"/>
        <v>Unresolved</v>
      </c>
      <c r="AG46" s="14">
        <f t="shared" ref="AG46:AK46" si="52">LOG(AG23)</f>
        <v>4.9030899869919438</v>
      </c>
      <c r="AH46" s="24"/>
      <c r="AI46" s="24"/>
      <c r="AJ46" s="14">
        <f t="shared" si="52"/>
        <v>-0.74906792979988657</v>
      </c>
      <c r="AK46" s="14">
        <f t="shared" si="52"/>
        <v>-1.0122890568696941</v>
      </c>
    </row>
    <row r="47" spans="2:37" x14ac:dyDescent="0.15">
      <c r="B47" s="15">
        <f t="shared" si="16"/>
        <v>4.9294189257142929</v>
      </c>
      <c r="C47" s="27"/>
      <c r="D47" s="27"/>
      <c r="E47" s="27"/>
      <c r="F47" s="27"/>
      <c r="G47" s="27"/>
      <c r="H47" s="15">
        <f t="shared" si="43"/>
        <v>-0.74916542000331587</v>
      </c>
      <c r="I47" s="15">
        <f t="shared" si="35"/>
        <v>0</v>
      </c>
      <c r="J47" s="15">
        <f t="shared" si="36"/>
        <v>0</v>
      </c>
      <c r="K47" s="15">
        <f t="shared" si="44"/>
        <v>-1.2262866747229784</v>
      </c>
      <c r="L47" s="15" t="str">
        <f t="shared" si="27"/>
        <v>Non-detection</v>
      </c>
      <c r="AE47" s="15"/>
      <c r="AG47" s="14">
        <f t="shared" ref="AG47:AK47" si="53">LOG(AG24)</f>
        <v>4.9294189257142929</v>
      </c>
      <c r="AH47" s="24"/>
      <c r="AI47" s="24"/>
      <c r="AJ47" s="14">
        <f t="shared" si="53"/>
        <v>-0.74916542000331587</v>
      </c>
      <c r="AK47" s="14">
        <f t="shared" si="53"/>
        <v>-0.74916542000331587</v>
      </c>
    </row>
    <row r="48" spans="2:37" x14ac:dyDescent="0.15">
      <c r="B48" s="15"/>
      <c r="G48" s="15"/>
      <c r="AD48" s="15"/>
    </row>
    <row r="49" spans="1:36" x14ac:dyDescent="0.15">
      <c r="B49" s="15"/>
      <c r="AD49" s="15"/>
    </row>
    <row r="50" spans="1:36" x14ac:dyDescent="0.15">
      <c r="B50" s="14" t="s">
        <v>38</v>
      </c>
      <c r="C50" s="15" t="s">
        <v>3</v>
      </c>
      <c r="D50" s="15"/>
      <c r="E50" s="15" t="s">
        <v>0</v>
      </c>
      <c r="F50" s="15"/>
      <c r="G50" s="15"/>
      <c r="H50" s="15"/>
      <c r="P50" s="16"/>
      <c r="Q50" s="38" t="s">
        <v>8</v>
      </c>
      <c r="R50" s="38"/>
      <c r="S50" s="38"/>
      <c r="T50" s="38"/>
      <c r="U50" s="38"/>
      <c r="V50" s="38"/>
      <c r="W50" s="38"/>
      <c r="X50" s="38"/>
      <c r="Y50" s="38"/>
      <c r="Z50" s="38" t="s">
        <v>9</v>
      </c>
      <c r="AA50" s="38"/>
      <c r="AB50" s="38"/>
      <c r="AC50" s="38"/>
    </row>
    <row r="51" spans="1:36" x14ac:dyDescent="0.15">
      <c r="C51" s="15" t="s">
        <v>35</v>
      </c>
      <c r="D51" s="15" t="s">
        <v>6</v>
      </c>
      <c r="E51" s="15" t="s">
        <v>10</v>
      </c>
      <c r="F51" s="15" t="s">
        <v>11</v>
      </c>
      <c r="G51" s="15" t="s">
        <v>6</v>
      </c>
      <c r="H51" s="15" t="s">
        <v>12</v>
      </c>
      <c r="I51" s="15" t="s">
        <v>6</v>
      </c>
      <c r="J51" s="15" t="s">
        <v>32</v>
      </c>
      <c r="K51" s="15" t="s">
        <v>33</v>
      </c>
      <c r="L51" s="15" t="s">
        <v>13</v>
      </c>
      <c r="M51" s="15" t="s">
        <v>14</v>
      </c>
      <c r="N51" s="15" t="s">
        <v>15</v>
      </c>
      <c r="O51" s="15" t="s">
        <v>14</v>
      </c>
      <c r="P51" s="1" t="s">
        <v>62</v>
      </c>
      <c r="Q51" s="1" t="s">
        <v>63</v>
      </c>
      <c r="R51" s="1" t="s">
        <v>64</v>
      </c>
      <c r="S51" s="1" t="s">
        <v>63</v>
      </c>
      <c r="T51" s="15" t="s">
        <v>31</v>
      </c>
      <c r="U51" s="15" t="s">
        <v>16</v>
      </c>
      <c r="V51" s="15" t="s">
        <v>17</v>
      </c>
      <c r="W51" s="15" t="s">
        <v>18</v>
      </c>
      <c r="X51" s="15" t="s">
        <v>19</v>
      </c>
      <c r="Y51" s="15" t="s">
        <v>20</v>
      </c>
      <c r="Z51" s="15" t="s">
        <v>21</v>
      </c>
      <c r="AA51" s="15" t="s">
        <v>22</v>
      </c>
      <c r="AB51" s="15" t="s">
        <v>23</v>
      </c>
      <c r="AC51" s="15" t="s">
        <v>24</v>
      </c>
      <c r="AD51" s="15" t="s">
        <v>25</v>
      </c>
      <c r="AE51" s="15" t="s">
        <v>26</v>
      </c>
      <c r="AF51" s="15" t="s">
        <v>27</v>
      </c>
      <c r="AG51" s="15" t="s">
        <v>28</v>
      </c>
    </row>
    <row r="52" spans="1:36" x14ac:dyDescent="0.15">
      <c r="A52" s="17">
        <v>3665</v>
      </c>
      <c r="B52" s="18">
        <v>1100</v>
      </c>
      <c r="C52" s="19">
        <v>6.0871000000000005E-4</v>
      </c>
      <c r="D52" s="19">
        <v>7.1299999999999998E-5</v>
      </c>
      <c r="E52" s="14" t="s">
        <v>29</v>
      </c>
      <c r="F52" s="19">
        <v>4.1798999999999997E-4</v>
      </c>
      <c r="G52" s="19">
        <v>3.18E-5</v>
      </c>
      <c r="H52" s="19">
        <v>6.0871000000000005E-4</v>
      </c>
      <c r="I52" s="19">
        <v>7.1299999999999998E-5</v>
      </c>
      <c r="J52" s="21">
        <v>13.15</v>
      </c>
      <c r="K52" s="19">
        <f t="shared" ref="K52:K62" si="54">3*AE52</f>
        <v>9.9870000000000004E-5</v>
      </c>
      <c r="L52" s="14">
        <v>1034.9649999999999</v>
      </c>
      <c r="M52" s="14">
        <v>0.31290000000000001</v>
      </c>
      <c r="N52" s="14">
        <v>1012.378</v>
      </c>
      <c r="O52" s="14">
        <v>0.72189999999999999</v>
      </c>
      <c r="P52" s="14">
        <f>(L52-1024)*(-0.2)</f>
        <v>-2.1929999999999836</v>
      </c>
      <c r="Q52" s="14">
        <f>M52*0.2</f>
        <v>6.2580000000000011E-2</v>
      </c>
      <c r="R52" s="14">
        <f>(N52-1024)*(0.2)</f>
        <v>-2.3243999999999914</v>
      </c>
      <c r="S52" s="14">
        <f>O52*0.2</f>
        <v>0.14438000000000001</v>
      </c>
      <c r="T52" s="14">
        <f>16.24*5.68</f>
        <v>92.243199999999987</v>
      </c>
      <c r="U52" s="14">
        <v>1.2940999999999999E-2</v>
      </c>
      <c r="V52" s="14">
        <v>1.039E-2</v>
      </c>
      <c r="W52" s="14">
        <v>1.5285E-2</v>
      </c>
      <c r="X52" s="14">
        <v>0</v>
      </c>
      <c r="Y52" s="14">
        <v>0</v>
      </c>
      <c r="Z52" s="14">
        <v>1.92E-3</v>
      </c>
      <c r="AA52" s="14">
        <v>161.35098300000001</v>
      </c>
      <c r="AB52" s="14" t="s">
        <v>36</v>
      </c>
      <c r="AC52" s="14" t="s">
        <v>37</v>
      </c>
      <c r="AD52" s="19">
        <v>-5.5950000000000001E-8</v>
      </c>
      <c r="AE52" s="19">
        <v>3.3290000000000001E-5</v>
      </c>
      <c r="AF52" s="19">
        <v>1.3666000000000001E-4</v>
      </c>
      <c r="AG52" s="19">
        <v>-1.0603E-4</v>
      </c>
      <c r="AH52" s="19"/>
    </row>
    <row r="53" spans="1:36" x14ac:dyDescent="0.15">
      <c r="B53" s="15">
        <v>5000</v>
      </c>
      <c r="C53" s="19">
        <v>4.8661E-4</v>
      </c>
      <c r="D53" s="19">
        <v>4.1499999999999999E-5</v>
      </c>
      <c r="E53" s="14" t="s">
        <v>30</v>
      </c>
      <c r="F53" s="19">
        <v>4.8661E-4</v>
      </c>
      <c r="G53" s="19">
        <v>4.1499999999999999E-5</v>
      </c>
      <c r="H53" s="19">
        <v>5.4491000000000001E-4</v>
      </c>
      <c r="I53" s="19">
        <v>7.7600000000000002E-5</v>
      </c>
      <c r="J53" s="21">
        <v>11.73</v>
      </c>
      <c r="K53" s="19">
        <f t="shared" si="54"/>
        <v>1.2759000000000002E-4</v>
      </c>
      <c r="L53" s="14">
        <v>1034.31</v>
      </c>
      <c r="M53" s="14">
        <v>0.26090000000000002</v>
      </c>
      <c r="N53" s="14">
        <v>1009.7619999999999</v>
      </c>
      <c r="O53" s="14">
        <v>0.58199999999999996</v>
      </c>
      <c r="P53" s="14">
        <f t="shared" ref="P53:P62" si="55">(L53-1024)*(-0.2)</f>
        <v>-2.0619999999999892</v>
      </c>
      <c r="Q53" s="14">
        <f t="shared" ref="Q53:S62" si="56">M53*0.2</f>
        <v>5.2180000000000004E-2</v>
      </c>
      <c r="R53" s="14">
        <f t="shared" ref="R53:R62" si="57">(N53-1024)*(0.2)</f>
        <v>-2.8476000000000115</v>
      </c>
      <c r="S53" s="14">
        <f t="shared" si="56"/>
        <v>0.1164</v>
      </c>
      <c r="T53" s="14">
        <f>15.24*4.38</f>
        <v>66.751199999999997</v>
      </c>
      <c r="U53" s="14">
        <v>5.7549999999999997E-3</v>
      </c>
      <c r="V53" s="14">
        <v>0</v>
      </c>
      <c r="W53" s="14">
        <v>8.5079999999999999E-3</v>
      </c>
      <c r="X53" s="14">
        <v>0</v>
      </c>
      <c r="Y53" s="14">
        <v>0</v>
      </c>
      <c r="Z53" s="14">
        <v>1.57E-3</v>
      </c>
      <c r="AA53" s="14">
        <v>162.82261700000001</v>
      </c>
      <c r="AB53" s="14">
        <v>118.47631800000001</v>
      </c>
      <c r="AC53" s="14">
        <v>27.496765</v>
      </c>
      <c r="AD53" s="19">
        <v>2.8130000000000001E-8</v>
      </c>
      <c r="AE53" s="19">
        <v>4.2530000000000001E-5</v>
      </c>
      <c r="AF53" s="19">
        <v>1.5238E-4</v>
      </c>
      <c r="AG53" s="19">
        <v>-1.5051999999999999E-4</v>
      </c>
      <c r="AH53" s="19"/>
    </row>
    <row r="54" spans="1:36" x14ac:dyDescent="0.15">
      <c r="B54" s="15">
        <v>10000</v>
      </c>
      <c r="C54" s="19">
        <v>5.6061000000000001E-4</v>
      </c>
      <c r="D54" s="19">
        <v>5.0899999999999997E-5</v>
      </c>
      <c r="E54" s="14" t="s">
        <v>30</v>
      </c>
      <c r="F54" s="19">
        <v>5.6061000000000001E-4</v>
      </c>
      <c r="G54" s="19">
        <v>5.0899999999999997E-5</v>
      </c>
      <c r="H54" s="19">
        <v>4.5676000000000001E-4</v>
      </c>
      <c r="I54" s="19">
        <v>7.7100000000000004E-5</v>
      </c>
      <c r="J54" s="21">
        <v>11.01</v>
      </c>
      <c r="K54" s="19">
        <f t="shared" si="54"/>
        <v>1.5177000000000002E-4</v>
      </c>
      <c r="L54" s="14">
        <v>1034.309</v>
      </c>
      <c r="M54" s="14">
        <v>0.23200000000000001</v>
      </c>
      <c r="N54" s="14">
        <v>1010.085</v>
      </c>
      <c r="O54" s="14">
        <v>0.58160000000000001</v>
      </c>
      <c r="P54" s="14">
        <f t="shared" si="55"/>
        <v>-2.0617999999999941</v>
      </c>
      <c r="Q54" s="14">
        <f t="shared" si="56"/>
        <v>4.6400000000000004E-2</v>
      </c>
      <c r="R54" s="14">
        <f t="shared" si="57"/>
        <v>-2.7829999999999928</v>
      </c>
      <c r="S54" s="14">
        <f t="shared" si="56"/>
        <v>0.11632000000000001</v>
      </c>
      <c r="T54" s="14">
        <f>16.87*3.78</f>
        <v>63.768599999999999</v>
      </c>
      <c r="U54" s="14">
        <v>0</v>
      </c>
      <c r="V54" s="14">
        <v>0</v>
      </c>
      <c r="W54" s="14">
        <v>4.725E-3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1.1923599999999999E-2</v>
      </c>
      <c r="AD54" s="19">
        <v>-2.4120000000000002E-7</v>
      </c>
      <c r="AE54" s="19">
        <v>5.0590000000000002E-5</v>
      </c>
      <c r="AF54" s="19">
        <v>1.7872999999999999E-4</v>
      </c>
      <c r="AG54" s="19">
        <v>-1.9833000000000001E-4</v>
      </c>
      <c r="AH54" s="19"/>
    </row>
    <row r="55" spans="1:36" x14ac:dyDescent="0.15">
      <c r="B55" s="15">
        <v>15000</v>
      </c>
      <c r="C55" s="19">
        <v>4.4279999999999998E-4</v>
      </c>
      <c r="D55" s="19">
        <v>5.0500000000000001E-5</v>
      </c>
      <c r="E55" s="14" t="s">
        <v>30</v>
      </c>
      <c r="F55" s="19">
        <v>4.4279999999999998E-4</v>
      </c>
      <c r="G55" s="19">
        <v>5.0500000000000001E-5</v>
      </c>
      <c r="H55" s="19">
        <v>4.3921999999999999E-4</v>
      </c>
      <c r="I55" s="19">
        <v>8.7100000000000003E-5</v>
      </c>
      <c r="J55" s="21">
        <v>8.76</v>
      </c>
      <c r="K55" s="19">
        <f t="shared" si="54"/>
        <v>1.5054000000000001E-4</v>
      </c>
      <c r="L55" s="14">
        <v>1034.3019999999999</v>
      </c>
      <c r="M55" s="14">
        <v>0.32900000000000001</v>
      </c>
      <c r="N55" s="14">
        <v>1009.712</v>
      </c>
      <c r="O55" s="14">
        <v>0.78110000000000002</v>
      </c>
      <c r="P55" s="14">
        <f t="shared" si="55"/>
        <v>-2.0603999999999814</v>
      </c>
      <c r="Q55" s="14">
        <f t="shared" si="56"/>
        <v>6.5800000000000011E-2</v>
      </c>
      <c r="R55" s="14">
        <f t="shared" si="57"/>
        <v>-2.8576000000000024</v>
      </c>
      <c r="S55" s="14">
        <f t="shared" si="56"/>
        <v>0.15622000000000003</v>
      </c>
      <c r="T55" s="14">
        <f>17.09*3.699</f>
        <v>63.215909999999994</v>
      </c>
      <c r="U55" s="14">
        <v>2.1749999999999999E-3</v>
      </c>
      <c r="V55" s="14">
        <v>0</v>
      </c>
      <c r="W55" s="14">
        <v>7.6439999999999998E-3</v>
      </c>
      <c r="X55" s="14">
        <v>0</v>
      </c>
      <c r="Y55" s="14">
        <v>0</v>
      </c>
      <c r="Z55" s="14">
        <v>2.9619999999999998E-3</v>
      </c>
      <c r="AA55" s="14">
        <v>178.84225499999999</v>
      </c>
      <c r="AB55" s="14">
        <v>139.22717299999999</v>
      </c>
      <c r="AC55" s="14">
        <v>27.058516999999998</v>
      </c>
      <c r="AD55" s="19">
        <v>2.85E-10</v>
      </c>
      <c r="AE55" s="19">
        <v>5.0179999999999997E-5</v>
      </c>
      <c r="AF55" s="19">
        <v>1.7836999999999999E-4</v>
      </c>
      <c r="AG55" s="19">
        <v>-1.9722000000000001E-4</v>
      </c>
      <c r="AH55" s="19"/>
    </row>
    <row r="56" spans="1:36" x14ac:dyDescent="0.15">
      <c r="B56" s="15">
        <v>20000</v>
      </c>
      <c r="C56" s="19">
        <v>4.0624999999999998E-4</v>
      </c>
      <c r="D56" s="19">
        <v>6.2000000000000003E-5</v>
      </c>
      <c r="E56" s="14" t="s">
        <v>30</v>
      </c>
      <c r="F56" s="19">
        <v>4.0624999999999998E-4</v>
      </c>
      <c r="G56" s="19">
        <v>6.2000000000000003E-5</v>
      </c>
      <c r="H56" s="19">
        <v>4.0037999999999999E-4</v>
      </c>
      <c r="I56" s="19">
        <v>1.06E-4</v>
      </c>
      <c r="J56" s="21">
        <v>6.55</v>
      </c>
      <c r="K56" s="19">
        <f t="shared" si="54"/>
        <v>1.8216E-4</v>
      </c>
      <c r="L56" s="14">
        <v>1034.171</v>
      </c>
      <c r="M56" s="14">
        <v>0.372</v>
      </c>
      <c r="N56" s="14">
        <v>1009.926</v>
      </c>
      <c r="O56" s="14">
        <v>1.1516999999999999</v>
      </c>
      <c r="P56" s="14">
        <f t="shared" si="55"/>
        <v>-2.03420000000001</v>
      </c>
      <c r="Q56" s="14">
        <f t="shared" si="56"/>
        <v>7.4400000000000008E-2</v>
      </c>
      <c r="R56" s="14">
        <f t="shared" si="57"/>
        <v>-2.8147999999999911</v>
      </c>
      <c r="S56" s="14">
        <f t="shared" si="56"/>
        <v>0.23033999999999999</v>
      </c>
      <c r="T56" s="14">
        <f>18.405*3.142</f>
        <v>57.828510000000001</v>
      </c>
      <c r="U56" s="14">
        <v>3.3470000000000001E-3</v>
      </c>
      <c r="V56" s="14">
        <v>0</v>
      </c>
      <c r="W56" s="14">
        <v>9.6489999999999996E-3</v>
      </c>
      <c r="X56" s="14">
        <v>0</v>
      </c>
      <c r="Y56" s="14">
        <v>0</v>
      </c>
      <c r="Z56" s="14">
        <v>2.3389999999999999E-3</v>
      </c>
      <c r="AA56" s="14">
        <v>18.912773000000001</v>
      </c>
      <c r="AB56" s="14">
        <v>154.686768</v>
      </c>
      <c r="AC56" s="14">
        <v>63.289561999999997</v>
      </c>
      <c r="AD56" s="19">
        <v>1.165E-7</v>
      </c>
      <c r="AE56" s="19">
        <v>6.0720000000000001E-5</v>
      </c>
      <c r="AF56" s="19">
        <v>2.1599E-4</v>
      </c>
      <c r="AG56" s="19">
        <v>-2.5077999999999998E-4</v>
      </c>
      <c r="AH56" s="19"/>
    </row>
    <row r="57" spans="1:36" x14ac:dyDescent="0.15">
      <c r="B57" s="15">
        <v>25000</v>
      </c>
      <c r="C57" s="19">
        <f>3*AE57</f>
        <v>2.3907000000000003E-4</v>
      </c>
      <c r="D57" s="19">
        <v>0</v>
      </c>
      <c r="E57" s="14" t="s">
        <v>40</v>
      </c>
      <c r="F57" s="19">
        <v>-3.8184999999999998E-4</v>
      </c>
      <c r="G57" s="19">
        <v>8.5099999999999995E-5</v>
      </c>
      <c r="H57" s="19">
        <v>-3.0810000000000001E-4</v>
      </c>
      <c r="I57" s="19">
        <v>1.2799999999999999E-4</v>
      </c>
      <c r="J57" s="14">
        <v>-4.49</v>
      </c>
      <c r="K57" s="19">
        <f t="shared" si="54"/>
        <v>2.3907000000000003E-4</v>
      </c>
      <c r="L57" s="14">
        <v>1103.0340000000001</v>
      </c>
      <c r="M57" s="14">
        <v>0.4884</v>
      </c>
      <c r="N57" s="14">
        <v>1069.7429999999999</v>
      </c>
      <c r="O57" s="14">
        <v>1.2994000000000001</v>
      </c>
      <c r="P57" s="14">
        <f t="shared" si="55"/>
        <v>-15.806800000000022</v>
      </c>
      <c r="Q57" s="14">
        <f t="shared" si="56"/>
        <v>9.7680000000000003E-2</v>
      </c>
      <c r="R57" s="14">
        <f t="shared" si="57"/>
        <v>9.1485999999999876</v>
      </c>
      <c r="S57" s="14">
        <f t="shared" si="56"/>
        <v>0.25988000000000006</v>
      </c>
      <c r="T57" s="14">
        <f>15.42*2.85</f>
        <v>43.947000000000003</v>
      </c>
      <c r="U57" s="14">
        <v>0</v>
      </c>
      <c r="V57" s="14">
        <v>0</v>
      </c>
      <c r="W57" s="14">
        <v>8.0990000000000003E-3</v>
      </c>
      <c r="X57" s="14">
        <v>0</v>
      </c>
      <c r="Y57" s="14">
        <v>0</v>
      </c>
      <c r="Z57" s="14">
        <v>8.8199999999999997E-4</v>
      </c>
      <c r="AA57" s="14">
        <v>0</v>
      </c>
      <c r="AB57" s="14">
        <v>0</v>
      </c>
      <c r="AC57" s="14">
        <v>176.90374800000001</v>
      </c>
      <c r="AD57" s="19">
        <v>9.1380000000000002E-8</v>
      </c>
      <c r="AE57" s="19">
        <v>7.9690000000000004E-5</v>
      </c>
      <c r="AF57" s="19">
        <v>2.5968999999999998E-4</v>
      </c>
      <c r="AG57" s="19">
        <v>-2.6468999999999999E-4</v>
      </c>
      <c r="AH57" s="19"/>
    </row>
    <row r="58" spans="1:36" x14ac:dyDescent="0.15">
      <c r="B58" s="15">
        <v>30000</v>
      </c>
      <c r="C58" s="19">
        <f>3*AE58</f>
        <v>3.6989999999999994E-4</v>
      </c>
      <c r="D58" s="19">
        <v>0</v>
      </c>
      <c r="E58" s="14" t="s">
        <v>40</v>
      </c>
      <c r="F58" s="19">
        <v>-4.3939000000000001E-4</v>
      </c>
      <c r="G58" s="19">
        <v>1.25E-4</v>
      </c>
      <c r="H58" s="19">
        <v>-3.2893000000000001E-4</v>
      </c>
      <c r="I58" s="19">
        <v>1.8000000000000001E-4</v>
      </c>
      <c r="J58" s="14">
        <v>-3.5</v>
      </c>
      <c r="K58" s="19">
        <f t="shared" si="54"/>
        <v>3.6989999999999994E-4</v>
      </c>
      <c r="L58" s="14">
        <v>1003.112</v>
      </c>
      <c r="M58" s="14">
        <v>0.74550000000000005</v>
      </c>
      <c r="N58" s="14">
        <v>1037.0809999999999</v>
      </c>
      <c r="O58" s="14">
        <v>1.2890999999999999</v>
      </c>
      <c r="P58" s="14">
        <f t="shared" si="55"/>
        <v>4.1776000000000071</v>
      </c>
      <c r="Q58" s="14">
        <f t="shared" si="56"/>
        <v>0.14910000000000001</v>
      </c>
      <c r="R58" s="14">
        <f t="shared" si="57"/>
        <v>2.616199999999981</v>
      </c>
      <c r="S58" s="14">
        <f t="shared" si="56"/>
        <v>0.25781999999999999</v>
      </c>
      <c r="T58" s="14">
        <f>13.56*2.5</f>
        <v>33.9</v>
      </c>
      <c r="U58" s="14">
        <v>1.456E-3</v>
      </c>
      <c r="V58" s="14">
        <v>0</v>
      </c>
      <c r="W58" s="14">
        <v>7.7770000000000001E-3</v>
      </c>
      <c r="X58" s="14">
        <v>0</v>
      </c>
      <c r="Y58" s="14">
        <v>0</v>
      </c>
      <c r="Z58" s="14">
        <v>1.0610000000000001E-3</v>
      </c>
      <c r="AA58" s="14">
        <v>174.165344</v>
      </c>
      <c r="AB58" s="14">
        <v>166.28552199999999</v>
      </c>
      <c r="AC58" s="14">
        <v>39.073044000000003</v>
      </c>
      <c r="AD58" s="19">
        <v>1.1350000000000001E-8</v>
      </c>
      <c r="AE58" s="19">
        <v>1.2329999999999999E-4</v>
      </c>
      <c r="AF58" s="19">
        <v>4.7640999999999997E-4</v>
      </c>
      <c r="AG58" s="19">
        <v>-4.8047999999999998E-4</v>
      </c>
      <c r="AH58" s="19"/>
    </row>
    <row r="59" spans="1:36" x14ac:dyDescent="0.15">
      <c r="B59" s="15">
        <v>34000</v>
      </c>
      <c r="C59" s="19">
        <v>6.1370000000000001E-4</v>
      </c>
      <c r="D59" s="19">
        <v>1.5200000000000001E-4</v>
      </c>
      <c r="E59" s="14" t="s">
        <v>30</v>
      </c>
      <c r="F59" s="19">
        <v>6.1370000000000001E-4</v>
      </c>
      <c r="G59" s="19">
        <v>1.5200000000000001E-4</v>
      </c>
      <c r="H59" s="19">
        <v>4.4592999999999998E-4</v>
      </c>
      <c r="I59" s="19">
        <v>2.14E-4</v>
      </c>
      <c r="J59" s="14">
        <v>4.05</v>
      </c>
      <c r="K59" s="19">
        <f t="shared" si="54"/>
        <v>4.4099999999999999E-4</v>
      </c>
      <c r="L59" s="14">
        <v>1101.537</v>
      </c>
      <c r="M59" s="14">
        <v>0.50449999999999995</v>
      </c>
      <c r="N59" s="14">
        <v>1051.0730000000001</v>
      </c>
      <c r="O59" s="14">
        <v>1.1155999999999999</v>
      </c>
      <c r="P59" s="14">
        <f t="shared" si="55"/>
        <v>-15.507400000000008</v>
      </c>
      <c r="Q59" s="14">
        <f t="shared" si="56"/>
        <v>0.10089999999999999</v>
      </c>
      <c r="R59" s="14">
        <f t="shared" si="57"/>
        <v>5.4146000000000187</v>
      </c>
      <c r="S59" s="14">
        <f t="shared" si="56"/>
        <v>0.22311999999999999</v>
      </c>
      <c r="T59" s="14">
        <f>13.59*2.35</f>
        <v>31.936500000000002</v>
      </c>
      <c r="U59" s="14">
        <v>0</v>
      </c>
      <c r="V59" s="14">
        <v>0</v>
      </c>
      <c r="W59" s="14">
        <v>5.6639999999999998E-3</v>
      </c>
      <c r="X59" s="14">
        <v>0</v>
      </c>
      <c r="Y59" s="14">
        <v>0</v>
      </c>
      <c r="Z59" s="14">
        <v>3.5799999999999997E-4</v>
      </c>
      <c r="AA59" s="14">
        <v>0</v>
      </c>
      <c r="AB59" s="14">
        <v>0</v>
      </c>
      <c r="AC59" s="14">
        <v>166.739136</v>
      </c>
      <c r="AD59" s="19">
        <v>1.365E-8</v>
      </c>
      <c r="AE59" s="19">
        <v>1.47E-4</v>
      </c>
      <c r="AF59" s="19">
        <v>5.4847999999999995E-4</v>
      </c>
      <c r="AG59" s="19">
        <v>-5.3927999999999995E-4</v>
      </c>
    </row>
    <row r="60" spans="1:36" x14ac:dyDescent="0.15">
      <c r="B60" s="15">
        <v>35000</v>
      </c>
      <c r="C60" s="19">
        <v>5.8852000000000004E-4</v>
      </c>
      <c r="D60" s="19">
        <v>1.7699999999999999E-4</v>
      </c>
      <c r="E60" s="14" t="s">
        <v>30</v>
      </c>
      <c r="F60" s="19">
        <v>5.8852000000000004E-4</v>
      </c>
      <c r="G60" s="19">
        <v>1.7699999999999999E-4</v>
      </c>
      <c r="H60" s="19">
        <v>3.3787999999999998E-4</v>
      </c>
      <c r="I60" s="19">
        <v>2.1499999999999999E-4</v>
      </c>
      <c r="J60" s="14">
        <v>3.33</v>
      </c>
      <c r="K60" s="19">
        <f t="shared" si="54"/>
        <v>4.8990000000000004E-4</v>
      </c>
      <c r="L60" s="14">
        <v>1030.443</v>
      </c>
      <c r="M60" s="14">
        <v>0.59740000000000004</v>
      </c>
      <c r="N60" s="14">
        <v>993.61</v>
      </c>
      <c r="O60" s="14">
        <v>1.028</v>
      </c>
      <c r="P60" s="14">
        <f t="shared" si="55"/>
        <v>-1.2885999999999969</v>
      </c>
      <c r="Q60" s="14">
        <f t="shared" si="56"/>
        <v>0.11948000000000002</v>
      </c>
      <c r="R60" s="14">
        <f t="shared" si="57"/>
        <v>-6.0779999999999976</v>
      </c>
      <c r="S60" s="14">
        <f t="shared" si="56"/>
        <v>0.2056</v>
      </c>
      <c r="T60" s="14">
        <f>12.58*2.38</f>
        <v>29.9404</v>
      </c>
      <c r="U60" s="14">
        <v>0</v>
      </c>
      <c r="V60" s="14">
        <v>0</v>
      </c>
      <c r="W60" s="14">
        <v>4.1180000000000001E-3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165.66220100000001</v>
      </c>
      <c r="AD60" s="19">
        <v>1.693E-8</v>
      </c>
      <c r="AE60" s="19">
        <v>1.6330000000000001E-4</v>
      </c>
      <c r="AF60" s="19">
        <v>5.7828999999999997E-4</v>
      </c>
      <c r="AG60" s="19">
        <v>-5.7231000000000003E-4</v>
      </c>
      <c r="AI60" s="15"/>
      <c r="AJ60" s="15"/>
    </row>
    <row r="61" spans="1:36" x14ac:dyDescent="0.15">
      <c r="B61" s="15">
        <v>40000</v>
      </c>
      <c r="C61" s="19">
        <f>3*AE61</f>
        <v>6.1469999999999993E-4</v>
      </c>
      <c r="D61" s="19">
        <v>0</v>
      </c>
      <c r="E61" s="14" t="s">
        <v>40</v>
      </c>
      <c r="F61" s="19">
        <v>-5.9254000000000002E-4</v>
      </c>
      <c r="G61" s="19">
        <v>2.23E-4</v>
      </c>
      <c r="H61" s="19">
        <v>-3.4768000000000001E-4</v>
      </c>
      <c r="I61" s="19">
        <v>2.7500000000000002E-4</v>
      </c>
      <c r="J61" s="14">
        <v>-2.66</v>
      </c>
      <c r="K61" s="19">
        <f t="shared" si="54"/>
        <v>6.1469999999999993E-4</v>
      </c>
      <c r="L61" s="14">
        <v>1039.2439999999999</v>
      </c>
      <c r="M61" s="14">
        <v>0.70589999999999997</v>
      </c>
      <c r="N61" s="14">
        <v>989.46299999999997</v>
      </c>
      <c r="O61" s="14">
        <v>1.2528999999999999</v>
      </c>
      <c r="P61" s="14">
        <f t="shared" si="55"/>
        <v>-3.0487999999999831</v>
      </c>
      <c r="Q61" s="14">
        <f t="shared" si="56"/>
        <v>0.14118</v>
      </c>
      <c r="R61" s="14">
        <f t="shared" si="57"/>
        <v>-6.9074000000000071</v>
      </c>
      <c r="S61" s="14">
        <f t="shared" si="56"/>
        <v>0.25057999999999997</v>
      </c>
      <c r="T61" s="14">
        <f>12.03*2.29</f>
        <v>27.5487</v>
      </c>
      <c r="U61" s="14">
        <v>0</v>
      </c>
      <c r="V61" s="14">
        <v>0</v>
      </c>
      <c r="W61" s="14">
        <v>4.9870000000000001E-3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164.45422400000001</v>
      </c>
      <c r="AD61" s="19">
        <v>-4.1720000000000001E-9</v>
      </c>
      <c r="AE61" s="19">
        <v>2.0489999999999999E-4</v>
      </c>
      <c r="AF61" s="19">
        <v>7.0757999999999997E-4</v>
      </c>
      <c r="AG61" s="19">
        <v>-7.1345000000000002E-4</v>
      </c>
    </row>
    <row r="62" spans="1:36" x14ac:dyDescent="0.15">
      <c r="B62" s="15">
        <v>43000</v>
      </c>
      <c r="C62" s="19">
        <f>3*AE62</f>
        <v>9.3570000000000003E-4</v>
      </c>
      <c r="D62" s="19">
        <v>0</v>
      </c>
      <c r="E62" s="14" t="s">
        <v>40</v>
      </c>
      <c r="F62" s="19">
        <v>-6.2861999999999998E-4</v>
      </c>
      <c r="G62" s="19">
        <v>3.4499999999999998E-4</v>
      </c>
      <c r="H62" s="19">
        <v>-5.2170999999999999E-4</v>
      </c>
      <c r="I62" s="19">
        <v>5.2800000000000004E-4</v>
      </c>
      <c r="J62" s="14">
        <v>-1.82</v>
      </c>
      <c r="K62" s="19">
        <f t="shared" si="54"/>
        <v>9.3570000000000003E-4</v>
      </c>
      <c r="L62" s="14">
        <v>1052.0920000000001</v>
      </c>
      <c r="M62" s="14">
        <v>1.0277000000000001</v>
      </c>
      <c r="N62" s="14">
        <v>987.10299999999995</v>
      </c>
      <c r="O62" s="14">
        <v>2.4613</v>
      </c>
      <c r="P62" s="14">
        <f t="shared" si="55"/>
        <v>-5.6184000000000198</v>
      </c>
      <c r="Q62" s="14">
        <f t="shared" si="56"/>
        <v>0.20554000000000003</v>
      </c>
      <c r="R62" s="14">
        <f t="shared" si="57"/>
        <v>-7.3794000000000102</v>
      </c>
      <c r="S62" s="14">
        <f t="shared" si="56"/>
        <v>0.49226000000000003</v>
      </c>
      <c r="T62" s="14">
        <f>11.4*2.18</f>
        <v>24.852000000000004</v>
      </c>
      <c r="U62" s="14">
        <v>2.264E-3</v>
      </c>
      <c r="V62" s="14">
        <v>0</v>
      </c>
      <c r="W62" s="14">
        <v>1.2019999999999999E-2</v>
      </c>
      <c r="X62" s="14">
        <v>0</v>
      </c>
      <c r="Y62" s="14">
        <v>0</v>
      </c>
      <c r="Z62" s="14">
        <v>1.1779E-2</v>
      </c>
      <c r="AA62" s="14">
        <v>22.068974999999998</v>
      </c>
      <c r="AB62" s="14">
        <v>160.17773399999999</v>
      </c>
      <c r="AC62" s="14">
        <v>62.806080000000001</v>
      </c>
      <c r="AD62" s="19">
        <v>-1.8540000000000001E-7</v>
      </c>
      <c r="AE62" s="19">
        <v>3.1189999999999999E-4</v>
      </c>
      <c r="AF62" s="19">
        <v>1.1049E-3</v>
      </c>
      <c r="AG62" s="19">
        <v>-1.0998E-3</v>
      </c>
    </row>
    <row r="64" spans="1:36" x14ac:dyDescent="0.15">
      <c r="P64" s="19"/>
    </row>
    <row r="81" spans="2:33" x14ac:dyDescent="0.15">
      <c r="B81" s="14" t="s">
        <v>39</v>
      </c>
    </row>
    <row r="82" spans="2:33" x14ac:dyDescent="0.15">
      <c r="C82" s="15" t="s">
        <v>35</v>
      </c>
      <c r="D82" s="15" t="s">
        <v>6</v>
      </c>
      <c r="E82" s="15" t="s">
        <v>10</v>
      </c>
      <c r="F82" s="15" t="s">
        <v>11</v>
      </c>
      <c r="G82" s="15" t="s">
        <v>6</v>
      </c>
      <c r="H82" s="15" t="s">
        <v>12</v>
      </c>
      <c r="I82" s="15" t="s">
        <v>6</v>
      </c>
      <c r="J82" s="15" t="s">
        <v>32</v>
      </c>
      <c r="K82" s="15" t="s">
        <v>33</v>
      </c>
      <c r="L82" s="15" t="s">
        <v>13</v>
      </c>
      <c r="M82" s="15" t="s">
        <v>14</v>
      </c>
      <c r="N82" s="15" t="s">
        <v>15</v>
      </c>
      <c r="O82" s="15" t="s">
        <v>14</v>
      </c>
      <c r="P82" s="1" t="s">
        <v>62</v>
      </c>
      <c r="Q82" s="1" t="s">
        <v>63</v>
      </c>
      <c r="R82" s="1" t="s">
        <v>64</v>
      </c>
      <c r="S82" s="1" t="s">
        <v>63</v>
      </c>
      <c r="T82" s="15" t="s">
        <v>31</v>
      </c>
      <c r="U82" s="15" t="s">
        <v>16</v>
      </c>
      <c r="V82" s="15" t="s">
        <v>17</v>
      </c>
      <c r="W82" s="15" t="s">
        <v>18</v>
      </c>
      <c r="X82" s="15" t="s">
        <v>19</v>
      </c>
      <c r="Y82" s="15" t="s">
        <v>20</v>
      </c>
      <c r="Z82" s="15" t="s">
        <v>21</v>
      </c>
      <c r="AA82" s="15" t="s">
        <v>22</v>
      </c>
      <c r="AB82" s="15" t="s">
        <v>23</v>
      </c>
      <c r="AC82" s="15" t="s">
        <v>24</v>
      </c>
      <c r="AD82" s="15" t="s">
        <v>25</v>
      </c>
      <c r="AE82" s="15" t="s">
        <v>26</v>
      </c>
      <c r="AF82" s="15" t="s">
        <v>27</v>
      </c>
      <c r="AG82" s="15" t="s">
        <v>28</v>
      </c>
    </row>
    <row r="83" spans="2:33" x14ac:dyDescent="0.15">
      <c r="B83" s="15">
        <v>3665</v>
      </c>
      <c r="C83" s="19">
        <f>F83</f>
        <v>1.2240999999999999E-4</v>
      </c>
      <c r="D83" s="19">
        <f>G83</f>
        <v>1.5E-5</v>
      </c>
      <c r="E83" s="14" t="s">
        <v>30</v>
      </c>
      <c r="F83" s="19">
        <v>1.2240999999999999E-4</v>
      </c>
      <c r="G83" s="19">
        <v>1.5E-5</v>
      </c>
      <c r="H83" s="19">
        <v>1.3119E-4</v>
      </c>
      <c r="I83" s="19">
        <v>2.72E-5</v>
      </c>
      <c r="J83" s="14">
        <v>8.18</v>
      </c>
      <c r="K83" s="19">
        <f>3*AE83</f>
        <v>4.545E-5</v>
      </c>
      <c r="L83" s="14">
        <v>1056.6420000000001</v>
      </c>
      <c r="M83" s="14">
        <v>0.61040000000000005</v>
      </c>
      <c r="N83" s="14">
        <v>967.39400000000001</v>
      </c>
      <c r="O83" s="14">
        <v>1.0804</v>
      </c>
      <c r="P83" s="14">
        <f>(L83-1024)*(-0.2)</f>
        <v>-6.5284000000000111</v>
      </c>
      <c r="Q83" s="14">
        <f>M83*0.2</f>
        <v>0.12208000000000002</v>
      </c>
      <c r="R83" s="14">
        <f>(N83-1024)*(0.2)</f>
        <v>-11.321199999999999</v>
      </c>
      <c r="S83" s="14">
        <f>O83*0.2</f>
        <v>0.21608000000000002</v>
      </c>
      <c r="T83" s="15">
        <f>19.7*7.81</f>
        <v>153.857</v>
      </c>
      <c r="U83" s="22">
        <v>2.2899999999999999E-3</v>
      </c>
      <c r="V83" s="14">
        <v>0</v>
      </c>
      <c r="W83" s="14">
        <v>3.5460000000000001E-3</v>
      </c>
      <c r="X83" s="14">
        <v>0</v>
      </c>
      <c r="Y83" s="14">
        <v>0</v>
      </c>
      <c r="Z83" s="14">
        <v>6.0999999999999997E-4</v>
      </c>
      <c r="AA83" s="14">
        <v>153.41362000000001</v>
      </c>
      <c r="AB83" s="14">
        <v>115.31665</v>
      </c>
      <c r="AC83" s="14">
        <v>17.713089</v>
      </c>
      <c r="AD83" s="19">
        <v>1.022E-7</v>
      </c>
      <c r="AE83" s="19">
        <v>1.5150000000000001E-5</v>
      </c>
      <c r="AF83" s="19">
        <v>4.7922E-5</v>
      </c>
      <c r="AG83" s="19">
        <v>-5.1804000000000001E-5</v>
      </c>
    </row>
    <row r="84" spans="2:33" x14ac:dyDescent="0.15">
      <c r="B84" s="15">
        <v>5000</v>
      </c>
      <c r="C84" s="19">
        <f t="shared" ref="C84:D99" si="58">F84</f>
        <v>1.1993999999999999E-4</v>
      </c>
      <c r="D84" s="19">
        <f t="shared" si="58"/>
        <v>1.52E-5</v>
      </c>
      <c r="E84" s="14" t="s">
        <v>30</v>
      </c>
      <c r="F84" s="19">
        <v>1.1993999999999999E-4</v>
      </c>
      <c r="G84" s="19">
        <v>1.52E-5</v>
      </c>
      <c r="H84" s="19">
        <v>1.2458E-4</v>
      </c>
      <c r="I84" s="19">
        <v>2.6999999999999999E-5</v>
      </c>
      <c r="J84" s="14">
        <v>7.89</v>
      </c>
      <c r="K84" s="19">
        <f t="shared" ref="K84:K100" si="59">3*AE84</f>
        <v>4.6019999999999996E-5</v>
      </c>
      <c r="L84" s="14">
        <v>1056.2429999999999</v>
      </c>
      <c r="M84" s="14">
        <v>0.62180000000000002</v>
      </c>
      <c r="N84" s="14">
        <v>966.41300000000001</v>
      </c>
      <c r="O84" s="14">
        <v>1.1134999999999999</v>
      </c>
      <c r="P84" s="14">
        <f t="shared" ref="P84:P99" si="60">(L84-1024)*(-0.2)</f>
        <v>-6.4485999999999883</v>
      </c>
      <c r="Q84" s="14">
        <f t="shared" ref="Q84:Q99" si="61">M84*0.2</f>
        <v>0.12436000000000001</v>
      </c>
      <c r="R84" s="14">
        <f t="shared" ref="R84:R99" si="62">(N84-1024)*(0.2)</f>
        <v>-11.517399999999999</v>
      </c>
      <c r="S84" s="14">
        <f t="shared" ref="S84:S99" si="63">O84*0.2</f>
        <v>0.22270000000000001</v>
      </c>
      <c r="T84" s="15">
        <f>19.39*7.62</f>
        <v>147.7518</v>
      </c>
      <c r="U84" s="22" t="s">
        <v>45</v>
      </c>
      <c r="V84" s="14">
        <v>0</v>
      </c>
      <c r="W84" s="14">
        <v>3.63E-3</v>
      </c>
      <c r="X84" s="14">
        <v>0</v>
      </c>
      <c r="Y84" s="14">
        <v>0</v>
      </c>
      <c r="Z84" s="14">
        <v>7.5199999999999996E-4</v>
      </c>
      <c r="AA84" s="14">
        <v>152.797089</v>
      </c>
      <c r="AB84" s="14">
        <v>109.69116200000001</v>
      </c>
      <c r="AC84" s="14">
        <v>12.888977000000001</v>
      </c>
      <c r="AD84" s="19">
        <v>7.7309999999999995E-8</v>
      </c>
      <c r="AE84" s="19">
        <v>1.5339999999999999E-5</v>
      </c>
      <c r="AF84" s="19">
        <v>4.6650000000000002E-5</v>
      </c>
      <c r="AG84" s="19">
        <v>-5.5846E-5</v>
      </c>
    </row>
    <row r="85" spans="2:33" x14ac:dyDescent="0.15">
      <c r="B85" s="15">
        <v>10000</v>
      </c>
      <c r="C85" s="19">
        <f t="shared" si="58"/>
        <v>1.2023000000000001E-4</v>
      </c>
      <c r="D85" s="19">
        <f t="shared" si="58"/>
        <v>1.6099999999999998E-5</v>
      </c>
      <c r="E85" s="14" t="s">
        <v>30</v>
      </c>
      <c r="F85" s="19">
        <v>1.2023000000000001E-4</v>
      </c>
      <c r="G85" s="19">
        <v>1.6099999999999998E-5</v>
      </c>
      <c r="H85" s="19">
        <v>1.1844E-4</v>
      </c>
      <c r="I85" s="19">
        <v>2.76E-5</v>
      </c>
      <c r="J85" s="14">
        <v>7.47</v>
      </c>
      <c r="K85" s="19">
        <f t="shared" si="59"/>
        <v>4.9979999999999999E-5</v>
      </c>
      <c r="L85" s="14">
        <v>1056.3969999999999</v>
      </c>
      <c r="M85" s="14">
        <v>0.62039999999999995</v>
      </c>
      <c r="N85" s="14">
        <v>966.8</v>
      </c>
      <c r="O85" s="14">
        <v>1.0960000000000001</v>
      </c>
      <c r="P85" s="14">
        <f t="shared" si="60"/>
        <v>-6.4793999999999876</v>
      </c>
      <c r="Q85" s="14">
        <f t="shared" si="61"/>
        <v>0.12408</v>
      </c>
      <c r="R85" s="14">
        <f t="shared" si="62"/>
        <v>-11.44000000000001</v>
      </c>
      <c r="S85" s="14">
        <f t="shared" si="63"/>
        <v>0.21920000000000003</v>
      </c>
      <c r="T85" s="15">
        <f>18.69
*7.17</f>
        <v>134.00730000000001</v>
      </c>
      <c r="U85" s="22" t="s">
        <v>46</v>
      </c>
      <c r="V85" s="14">
        <v>0</v>
      </c>
      <c r="W85" s="14">
        <v>3.3449999999999999E-3</v>
      </c>
      <c r="X85" s="14">
        <v>0</v>
      </c>
      <c r="Y85" s="14">
        <v>0</v>
      </c>
      <c r="Z85" s="14">
        <v>2.41E-4</v>
      </c>
      <c r="AA85" s="14">
        <v>150.531723</v>
      </c>
      <c r="AB85" s="14">
        <v>116.968872</v>
      </c>
      <c r="AC85" s="14">
        <v>166.37120100000001</v>
      </c>
      <c r="AD85" s="19">
        <v>-1.229E-8</v>
      </c>
      <c r="AE85" s="19">
        <v>1.666E-5</v>
      </c>
      <c r="AF85" s="19">
        <v>5.7386999999999998E-5</v>
      </c>
      <c r="AG85" s="19">
        <v>-5.9354999999999997E-5</v>
      </c>
    </row>
    <row r="86" spans="2:33" x14ac:dyDescent="0.15">
      <c r="B86" s="15">
        <v>15000</v>
      </c>
      <c r="C86" s="19">
        <f t="shared" si="58"/>
        <v>1.1627E-4</v>
      </c>
      <c r="D86" s="19">
        <f t="shared" si="58"/>
        <v>1.63E-5</v>
      </c>
      <c r="E86" s="14" t="s">
        <v>30</v>
      </c>
      <c r="F86" s="19">
        <v>1.1627E-4</v>
      </c>
      <c r="G86" s="19">
        <v>1.63E-5</v>
      </c>
      <c r="H86" s="19">
        <v>1.1503E-4</v>
      </c>
      <c r="I86" s="19">
        <v>2.8E-5</v>
      </c>
      <c r="J86" s="14">
        <v>7.14</v>
      </c>
      <c r="K86" s="19">
        <f t="shared" si="59"/>
        <v>4.9919999999999996E-5</v>
      </c>
      <c r="L86" s="14">
        <v>1056.271</v>
      </c>
      <c r="M86" s="14">
        <v>0.65369999999999995</v>
      </c>
      <c r="N86" s="14">
        <v>966.33100000000002</v>
      </c>
      <c r="O86" s="14">
        <v>1.1569</v>
      </c>
      <c r="P86" s="14">
        <f t="shared" si="60"/>
        <v>-6.4541999999999922</v>
      </c>
      <c r="Q86" s="14">
        <f t="shared" si="61"/>
        <v>0.13074</v>
      </c>
      <c r="R86" s="14">
        <f t="shared" si="62"/>
        <v>-11.533799999999998</v>
      </c>
      <c r="S86" s="14">
        <f t="shared" si="63"/>
        <v>0.23138000000000003</v>
      </c>
      <c r="T86" s="15">
        <f>18.53*7.09</f>
        <v>131.3777</v>
      </c>
      <c r="U86" s="22" t="s">
        <v>47</v>
      </c>
      <c r="V86" s="14">
        <v>0</v>
      </c>
      <c r="W86" s="14">
        <v>3.5200000000000001E-3</v>
      </c>
      <c r="X86" s="14">
        <v>0</v>
      </c>
      <c r="Y86" s="14">
        <v>0</v>
      </c>
      <c r="Z86" s="14">
        <v>1.11E-4</v>
      </c>
      <c r="AA86" s="14">
        <v>150.322968</v>
      </c>
      <c r="AB86" s="14">
        <v>107.168457</v>
      </c>
      <c r="AC86" s="14">
        <v>164.488281</v>
      </c>
      <c r="AD86" s="19">
        <v>3.46E-7</v>
      </c>
      <c r="AE86" s="19">
        <v>1.664E-5</v>
      </c>
      <c r="AF86" s="19">
        <v>5.4858999999999998E-5</v>
      </c>
      <c r="AG86" s="19">
        <v>-5.9626999999999997E-5</v>
      </c>
    </row>
    <row r="87" spans="2:33" x14ac:dyDescent="0.15">
      <c r="B87" s="15">
        <v>20000</v>
      </c>
      <c r="C87" s="19">
        <f t="shared" si="58"/>
        <v>1.1493E-4</v>
      </c>
      <c r="D87" s="19">
        <f t="shared" si="58"/>
        <v>1.6900000000000001E-5</v>
      </c>
      <c r="E87" s="14" t="s">
        <v>30</v>
      </c>
      <c r="F87" s="19">
        <v>1.1493E-4</v>
      </c>
      <c r="G87" s="19">
        <v>1.6900000000000001E-5</v>
      </c>
      <c r="H87" s="19">
        <v>1.184E-4</v>
      </c>
      <c r="I87" s="19">
        <v>2.9899999999999998E-5</v>
      </c>
      <c r="J87" s="14">
        <v>6.79</v>
      </c>
      <c r="K87" s="19">
        <f t="shared" si="59"/>
        <v>5.1840000000000005E-5</v>
      </c>
      <c r="L87" s="14">
        <v>1055.8510000000001</v>
      </c>
      <c r="M87" s="14">
        <v>0.68420000000000003</v>
      </c>
      <c r="N87" s="14">
        <v>965.79100000000005</v>
      </c>
      <c r="O87" s="14">
        <v>1.2034</v>
      </c>
      <c r="P87" s="14">
        <f t="shared" si="60"/>
        <v>-6.3702000000000227</v>
      </c>
      <c r="Q87" s="14">
        <f t="shared" si="61"/>
        <v>0.13684000000000002</v>
      </c>
      <c r="R87" s="14">
        <f t="shared" si="62"/>
        <v>-11.641799999999989</v>
      </c>
      <c r="S87" s="14">
        <f t="shared" si="63"/>
        <v>0.24068000000000001</v>
      </c>
      <c r="T87" s="15">
        <f>17.95*6.73</f>
        <v>120.8035</v>
      </c>
      <c r="U87" s="22" t="s">
        <v>48</v>
      </c>
      <c r="V87" s="14">
        <v>0</v>
      </c>
      <c r="W87" s="14">
        <v>3.637E-3</v>
      </c>
      <c r="X87" s="14">
        <v>0</v>
      </c>
      <c r="Y87" s="14">
        <v>0</v>
      </c>
      <c r="Z87" s="14">
        <v>3.1599999999999998E-4</v>
      </c>
      <c r="AA87" s="14">
        <v>149.900116</v>
      </c>
      <c r="AB87" s="14">
        <v>109.194214</v>
      </c>
      <c r="AC87" s="14">
        <v>13.655426</v>
      </c>
      <c r="AD87" s="19">
        <v>-4.3590000000000002E-8</v>
      </c>
      <c r="AE87" s="19">
        <v>1.7280000000000001E-5</v>
      </c>
      <c r="AF87" s="19">
        <v>5.6949E-5</v>
      </c>
      <c r="AG87" s="19">
        <v>-6.4189000000000005E-5</v>
      </c>
    </row>
    <row r="88" spans="2:33" x14ac:dyDescent="0.15">
      <c r="B88" s="15">
        <v>25000</v>
      </c>
      <c r="C88" s="19">
        <f t="shared" si="58"/>
        <v>1.1868E-4</v>
      </c>
      <c r="D88" s="19">
        <f t="shared" si="58"/>
        <v>1.7900000000000001E-5</v>
      </c>
      <c r="E88" s="14" t="s">
        <v>30</v>
      </c>
      <c r="F88" s="19">
        <v>1.1868E-4</v>
      </c>
      <c r="G88" s="19">
        <v>1.7900000000000001E-5</v>
      </c>
      <c r="H88" s="19">
        <v>1.2763E-4</v>
      </c>
      <c r="I88" s="19">
        <v>3.2499999999999997E-5</v>
      </c>
      <c r="J88" s="14">
        <v>6.63</v>
      </c>
      <c r="K88" s="19">
        <f t="shared" si="59"/>
        <v>5.4629999999999997E-5</v>
      </c>
      <c r="L88" s="14">
        <v>1056.306</v>
      </c>
      <c r="M88" s="14">
        <v>0.68059999999999998</v>
      </c>
      <c r="N88" s="14">
        <v>966.35799999999995</v>
      </c>
      <c r="O88" s="14">
        <v>1.2047000000000001</v>
      </c>
      <c r="P88" s="14">
        <f t="shared" si="60"/>
        <v>-6.4612000000000087</v>
      </c>
      <c r="Q88" s="14">
        <f t="shared" si="61"/>
        <v>0.13611999999999999</v>
      </c>
      <c r="R88" s="14">
        <f t="shared" si="62"/>
        <v>-11.528400000000012</v>
      </c>
      <c r="S88" s="14">
        <f t="shared" si="63"/>
        <v>0.24094000000000004</v>
      </c>
      <c r="T88" s="15">
        <f>17.17*6.17</f>
        <v>105.9389</v>
      </c>
      <c r="U88" s="22" t="s">
        <v>49</v>
      </c>
      <c r="V88" s="14">
        <v>0</v>
      </c>
      <c r="W88" s="14">
        <v>3.6709999999999998E-3</v>
      </c>
      <c r="X88" s="14">
        <v>0</v>
      </c>
      <c r="Y88" s="14">
        <v>0</v>
      </c>
      <c r="Z88" s="14">
        <v>3.8699999999999997E-4</v>
      </c>
      <c r="AA88" s="14">
        <v>149.30458100000001</v>
      </c>
      <c r="AB88" s="14">
        <v>104.651245</v>
      </c>
      <c r="AC88" s="14">
        <v>13.372513</v>
      </c>
      <c r="AD88" s="19">
        <v>1.4970000000000001E-8</v>
      </c>
      <c r="AE88" s="19">
        <v>1.821E-5</v>
      </c>
      <c r="AF88" s="19">
        <v>6.2441999999999996E-5</v>
      </c>
      <c r="AG88" s="19">
        <v>-6.5001999999999999E-5</v>
      </c>
    </row>
    <row r="89" spans="2:33" x14ac:dyDescent="0.15">
      <c r="B89" s="15">
        <v>30000</v>
      </c>
      <c r="C89" s="19">
        <f t="shared" si="58"/>
        <v>1.2572000000000001E-4</v>
      </c>
      <c r="D89" s="19">
        <f t="shared" si="58"/>
        <v>1.95E-5</v>
      </c>
      <c r="E89" s="14" t="s">
        <v>30</v>
      </c>
      <c r="F89" s="19">
        <v>1.2572000000000001E-4</v>
      </c>
      <c r="G89" s="19">
        <v>1.95E-5</v>
      </c>
      <c r="H89" s="19">
        <v>1.3569E-4</v>
      </c>
      <c r="I89" s="19">
        <v>3.5500000000000002E-5</v>
      </c>
      <c r="J89" s="14">
        <v>6.46</v>
      </c>
      <c r="K89" s="19">
        <f t="shared" si="59"/>
        <v>5.8140000000000002E-5</v>
      </c>
      <c r="L89" s="14">
        <v>1056.242</v>
      </c>
      <c r="M89" s="14">
        <v>0.69899999999999995</v>
      </c>
      <c r="N89" s="14">
        <v>966.69899999999996</v>
      </c>
      <c r="O89" s="14">
        <v>1.2042999999999999</v>
      </c>
      <c r="P89" s="14">
        <f t="shared" si="60"/>
        <v>-6.4483999999999924</v>
      </c>
      <c r="Q89" s="14">
        <f t="shared" si="61"/>
        <v>0.13980000000000001</v>
      </c>
      <c r="R89" s="14">
        <f t="shared" si="62"/>
        <v>-11.460200000000009</v>
      </c>
      <c r="S89" s="14">
        <f t="shared" si="63"/>
        <v>0.24085999999999999</v>
      </c>
      <c r="T89" s="15">
        <f>17.16*5.55</f>
        <v>95.238</v>
      </c>
      <c r="U89" s="22" t="s">
        <v>50</v>
      </c>
      <c r="V89" s="14">
        <v>0</v>
      </c>
      <c r="W89" s="14">
        <v>3.604E-3</v>
      </c>
      <c r="X89" s="14">
        <v>0</v>
      </c>
      <c r="Y89" s="14">
        <v>0</v>
      </c>
      <c r="Z89" s="14">
        <v>7.4200000000000004E-4</v>
      </c>
      <c r="AA89" s="14">
        <v>146.069748</v>
      </c>
      <c r="AB89" s="14">
        <v>103.526855</v>
      </c>
      <c r="AC89" s="14">
        <v>9.6660609999999991</v>
      </c>
      <c r="AD89" s="19">
        <v>4.7290000000000002E-8</v>
      </c>
      <c r="AE89" s="19">
        <v>1.9380000000000001E-5</v>
      </c>
      <c r="AF89" s="19">
        <v>6.9035999999999994E-5</v>
      </c>
      <c r="AG89" s="19">
        <v>-6.1812999999999999E-5</v>
      </c>
    </row>
    <row r="90" spans="2:33" x14ac:dyDescent="0.15">
      <c r="B90" s="15">
        <v>35000</v>
      </c>
      <c r="C90" s="19">
        <f t="shared" si="58"/>
        <v>1.2055E-4</v>
      </c>
      <c r="D90" s="19">
        <f t="shared" si="58"/>
        <v>2.02E-5</v>
      </c>
      <c r="E90" s="14" t="s">
        <v>30</v>
      </c>
      <c r="F90" s="19">
        <v>1.2055E-4</v>
      </c>
      <c r="G90" s="19">
        <v>2.02E-5</v>
      </c>
      <c r="H90" s="19">
        <v>1.2844000000000001E-4</v>
      </c>
      <c r="I90" s="19">
        <v>3.6600000000000002E-5</v>
      </c>
      <c r="J90" s="14">
        <v>5.95</v>
      </c>
      <c r="K90" s="19">
        <f t="shared" si="59"/>
        <v>5.7960000000000007E-5</v>
      </c>
      <c r="L90" s="14">
        <v>1056.5640000000001</v>
      </c>
      <c r="M90" s="14">
        <v>0.76359999999999995</v>
      </c>
      <c r="N90" s="14">
        <v>967.11699999999996</v>
      </c>
      <c r="O90" s="14">
        <v>1.2726</v>
      </c>
      <c r="P90" s="14">
        <f t="shared" si="60"/>
        <v>-6.5128000000000164</v>
      </c>
      <c r="Q90" s="14">
        <f t="shared" si="61"/>
        <v>0.15271999999999999</v>
      </c>
      <c r="R90" s="14">
        <f t="shared" si="62"/>
        <v>-11.376600000000009</v>
      </c>
      <c r="S90" s="14">
        <f t="shared" si="63"/>
        <v>0.25452000000000002</v>
      </c>
      <c r="T90" s="15">
        <f>17.12*5.31</f>
        <v>90.907200000000003</v>
      </c>
      <c r="U90" s="22" t="s">
        <v>51</v>
      </c>
      <c r="V90" s="14">
        <v>0</v>
      </c>
      <c r="W90" s="14">
        <v>3.607E-3</v>
      </c>
      <c r="X90" s="14">
        <v>0</v>
      </c>
      <c r="Y90" s="14">
        <v>0</v>
      </c>
      <c r="Z90" s="14">
        <v>4.7800000000000002E-4</v>
      </c>
      <c r="AA90" s="14">
        <v>143.061172</v>
      </c>
      <c r="AB90" s="14">
        <v>101.250488</v>
      </c>
      <c r="AC90" s="14">
        <v>155.441193</v>
      </c>
      <c r="AD90" s="19">
        <v>-1.5489999999999999E-7</v>
      </c>
      <c r="AE90" s="19">
        <v>1.9320000000000001E-5</v>
      </c>
      <c r="AF90" s="19">
        <v>7.3109999999999996E-5</v>
      </c>
      <c r="AG90" s="19">
        <v>-7.6026999999999996E-5</v>
      </c>
    </row>
    <row r="91" spans="2:33" x14ac:dyDescent="0.15">
      <c r="B91" s="15">
        <v>40000</v>
      </c>
      <c r="C91" s="19">
        <f t="shared" si="58"/>
        <v>1.2903E-4</v>
      </c>
      <c r="D91" s="19">
        <f t="shared" si="58"/>
        <v>2.16E-5</v>
      </c>
      <c r="E91" s="14" t="s">
        <v>30</v>
      </c>
      <c r="F91" s="19">
        <v>1.2903E-4</v>
      </c>
      <c r="G91" s="19">
        <v>2.16E-5</v>
      </c>
      <c r="H91" s="19">
        <v>1.1961E-4</v>
      </c>
      <c r="I91" s="19">
        <v>3.5500000000000002E-5</v>
      </c>
      <c r="J91" s="14">
        <v>5.98</v>
      </c>
      <c r="K91" s="19">
        <f t="shared" si="59"/>
        <v>6.3300000000000007E-5</v>
      </c>
      <c r="L91" s="14">
        <v>1056.3710000000001</v>
      </c>
      <c r="M91" s="14">
        <v>0.68089999999999995</v>
      </c>
      <c r="N91" s="14">
        <v>966.72199999999998</v>
      </c>
      <c r="O91" s="14">
        <v>1.1603000000000001</v>
      </c>
      <c r="P91" s="14">
        <f t="shared" si="60"/>
        <v>-6.4742000000000193</v>
      </c>
      <c r="Q91" s="14">
        <f t="shared" si="61"/>
        <v>0.13618</v>
      </c>
      <c r="R91" s="14">
        <f t="shared" si="62"/>
        <v>-11.455600000000004</v>
      </c>
      <c r="S91" s="14">
        <f t="shared" si="63"/>
        <v>0.23206000000000004</v>
      </c>
      <c r="T91" s="15">
        <f>17.77*5.04</f>
        <v>89.5608</v>
      </c>
      <c r="U91" s="22" t="s">
        <v>52</v>
      </c>
      <c r="V91" s="14">
        <v>0</v>
      </c>
      <c r="W91" s="14">
        <v>2.8050000000000002E-3</v>
      </c>
      <c r="X91" s="14">
        <v>0</v>
      </c>
      <c r="Y91" s="14">
        <v>0</v>
      </c>
      <c r="Z91" s="14">
        <v>1.065E-3</v>
      </c>
      <c r="AA91" s="14">
        <v>131.62097199999999</v>
      </c>
      <c r="AB91" s="14">
        <v>88.175049000000001</v>
      </c>
      <c r="AC91" s="14">
        <v>173.24208100000001</v>
      </c>
      <c r="AD91" s="19">
        <v>4.9870000000000003E-8</v>
      </c>
      <c r="AE91" s="19">
        <v>2.1100000000000001E-5</v>
      </c>
      <c r="AF91" s="19">
        <v>8.3276999999999996E-5</v>
      </c>
      <c r="AG91" s="19">
        <v>-7.8584999999999994E-5</v>
      </c>
    </row>
    <row r="92" spans="2:33" x14ac:dyDescent="0.15">
      <c r="B92" s="15">
        <v>45000</v>
      </c>
      <c r="C92" s="19">
        <f t="shared" si="58"/>
        <v>1.3134E-4</v>
      </c>
      <c r="D92" s="19">
        <f t="shared" si="58"/>
        <v>2.2500000000000001E-5</v>
      </c>
      <c r="E92" s="14" t="s">
        <v>30</v>
      </c>
      <c r="F92" s="19">
        <v>1.3134E-4</v>
      </c>
      <c r="G92" s="19">
        <v>2.2500000000000001E-5</v>
      </c>
      <c r="H92" s="19">
        <v>1.2101E-4</v>
      </c>
      <c r="I92" s="19">
        <v>3.6999999999999998E-5</v>
      </c>
      <c r="J92" s="14">
        <v>5.83</v>
      </c>
      <c r="K92" s="19">
        <f t="shared" si="59"/>
        <v>6.6509999999999998E-5</v>
      </c>
      <c r="L92" s="14">
        <v>1056.2639999999999</v>
      </c>
      <c r="M92" s="14">
        <v>0.68469999999999998</v>
      </c>
      <c r="N92" s="14">
        <v>966.53300000000002</v>
      </c>
      <c r="O92" s="14">
        <v>1.1880999999999999</v>
      </c>
      <c r="P92" s="14">
        <f t="shared" si="60"/>
        <v>-6.4527999999999794</v>
      </c>
      <c r="Q92" s="14">
        <f t="shared" si="61"/>
        <v>0.13694000000000001</v>
      </c>
      <c r="R92" s="14">
        <f t="shared" si="62"/>
        <v>-11.493399999999998</v>
      </c>
      <c r="S92" s="14">
        <f t="shared" si="63"/>
        <v>0.23762</v>
      </c>
      <c r="T92" s="15">
        <f>18.01*4.82</f>
        <v>86.808200000000014</v>
      </c>
      <c r="U92" s="22" t="s">
        <v>53</v>
      </c>
      <c r="V92" s="14">
        <v>0</v>
      </c>
      <c r="W92" s="14">
        <v>2.7499999999999998E-3</v>
      </c>
      <c r="X92" s="14">
        <v>0</v>
      </c>
      <c r="Y92" s="14">
        <v>0</v>
      </c>
      <c r="Z92" s="14">
        <v>8.8599999999999996E-4</v>
      </c>
      <c r="AA92" s="14">
        <v>123.16448200000001</v>
      </c>
      <c r="AB92" s="14">
        <v>81.765991</v>
      </c>
      <c r="AC92" s="14">
        <v>158.313828</v>
      </c>
      <c r="AD92" s="19">
        <v>-5.3730000000000004E-9</v>
      </c>
      <c r="AE92" s="19">
        <v>2.2169999999999999E-5</v>
      </c>
      <c r="AF92" s="19">
        <v>8.4147999999999995E-5</v>
      </c>
      <c r="AG92" s="19">
        <v>-8.1854999999999995E-5</v>
      </c>
    </row>
    <row r="93" spans="2:33" x14ac:dyDescent="0.15">
      <c r="B93" s="15">
        <v>50000</v>
      </c>
      <c r="C93" s="19">
        <f t="shared" si="58"/>
        <v>1.2726E-4</v>
      </c>
      <c r="D93" s="19">
        <f t="shared" si="58"/>
        <v>2.4600000000000002E-5</v>
      </c>
      <c r="E93" s="14" t="s">
        <v>30</v>
      </c>
      <c r="F93" s="19">
        <v>1.2726E-4</v>
      </c>
      <c r="G93" s="19">
        <v>2.4600000000000002E-5</v>
      </c>
      <c r="H93" s="19">
        <v>1.1478E-4</v>
      </c>
      <c r="I93" s="19">
        <v>3.9799999999999998E-5</v>
      </c>
      <c r="J93" s="14">
        <v>5.17</v>
      </c>
      <c r="K93" s="19">
        <f t="shared" si="59"/>
        <v>7.5329999999999999E-5</v>
      </c>
      <c r="L93" s="14">
        <v>1056.768</v>
      </c>
      <c r="M93" s="14">
        <v>0.74909999999999999</v>
      </c>
      <c r="N93" s="14">
        <v>967.28200000000004</v>
      </c>
      <c r="O93" s="14">
        <v>1.3653</v>
      </c>
      <c r="P93" s="14">
        <f t="shared" si="60"/>
        <v>-6.5536000000000065</v>
      </c>
      <c r="Q93" s="14">
        <f t="shared" si="61"/>
        <v>0.14982000000000001</v>
      </c>
      <c r="R93" s="14">
        <f t="shared" si="62"/>
        <v>-11.343599999999993</v>
      </c>
      <c r="S93" s="14">
        <f t="shared" si="63"/>
        <v>0.27306000000000002</v>
      </c>
      <c r="T93" s="15">
        <f>18.36*4.5</f>
        <v>82.62</v>
      </c>
      <c r="U93" s="22" t="s">
        <v>54</v>
      </c>
      <c r="V93" s="14">
        <v>0</v>
      </c>
      <c r="W93" s="14">
        <v>2.9260000000000002E-3</v>
      </c>
      <c r="X93" s="14">
        <v>0</v>
      </c>
      <c r="Y93" s="14">
        <v>0</v>
      </c>
      <c r="Z93" s="14">
        <v>7.6000000000000004E-4</v>
      </c>
      <c r="AA93" s="14">
        <v>117.72230500000001</v>
      </c>
      <c r="AB93" s="14">
        <v>75.087280000000007</v>
      </c>
      <c r="AC93" s="14">
        <v>161.40010100000001</v>
      </c>
      <c r="AD93" s="19">
        <v>-2.6689999999999999E-8</v>
      </c>
      <c r="AE93" s="19">
        <v>2.5109999999999998E-5</v>
      </c>
      <c r="AF93" s="19">
        <v>8.5246000000000003E-5</v>
      </c>
      <c r="AG93" s="19">
        <v>-8.4523000000000004E-5</v>
      </c>
    </row>
    <row r="94" spans="2:33" x14ac:dyDescent="0.15">
      <c r="B94" s="14">
        <v>55000</v>
      </c>
      <c r="C94" s="19">
        <f t="shared" si="58"/>
        <v>1.3165E-4</v>
      </c>
      <c r="D94" s="19">
        <f t="shared" si="58"/>
        <v>2.58E-5</v>
      </c>
      <c r="E94" s="14" t="s">
        <v>30</v>
      </c>
      <c r="F94" s="19">
        <v>1.3165E-4</v>
      </c>
      <c r="G94" s="19">
        <v>2.58E-5</v>
      </c>
      <c r="H94" s="19">
        <v>1.2574999999999999E-4</v>
      </c>
      <c r="I94" s="19">
        <v>4.3399999999999998E-5</v>
      </c>
      <c r="J94" s="14">
        <v>5.0999999999999996</v>
      </c>
      <c r="K94" s="19">
        <f t="shared" si="59"/>
        <v>7.9140000000000005E-5</v>
      </c>
      <c r="L94" s="14">
        <v>1056.663</v>
      </c>
      <c r="M94" s="14">
        <v>0.76060000000000005</v>
      </c>
      <c r="N94" s="14">
        <v>967.279</v>
      </c>
      <c r="O94" s="14">
        <v>1.4094</v>
      </c>
      <c r="P94" s="14">
        <f t="shared" si="60"/>
        <v>-6.5326000000000022</v>
      </c>
      <c r="Q94" s="14">
        <f t="shared" si="61"/>
        <v>0.15212000000000003</v>
      </c>
      <c r="R94" s="14">
        <f t="shared" si="62"/>
        <v>-11.344200000000001</v>
      </c>
      <c r="S94" s="14">
        <f t="shared" si="63"/>
        <v>0.28188000000000002</v>
      </c>
      <c r="T94" s="15">
        <f>18.18*4.41</f>
        <v>80.1738</v>
      </c>
      <c r="U94" s="22" t="s">
        <v>55</v>
      </c>
      <c r="V94" s="14">
        <v>0</v>
      </c>
      <c r="W94" s="14">
        <v>3.088E-3</v>
      </c>
      <c r="X94" s="14">
        <v>0</v>
      </c>
      <c r="Y94" s="14">
        <v>0</v>
      </c>
      <c r="Z94" s="14">
        <v>1.023E-3</v>
      </c>
      <c r="AA94" s="14">
        <v>127.717201</v>
      </c>
      <c r="AB94" s="14">
        <v>83.494140999999999</v>
      </c>
      <c r="AC94" s="14">
        <v>170.30943300000001</v>
      </c>
      <c r="AD94" s="19">
        <v>-4.887E-8</v>
      </c>
      <c r="AE94" s="19">
        <v>2.6380000000000002E-5</v>
      </c>
      <c r="AF94" s="19">
        <v>1.0471000000000001E-4</v>
      </c>
      <c r="AG94" s="19">
        <v>-9.0822999999999994E-5</v>
      </c>
    </row>
    <row r="95" spans="2:33" x14ac:dyDescent="0.15">
      <c r="B95" s="14">
        <v>60000</v>
      </c>
      <c r="C95" s="19">
        <f t="shared" si="58"/>
        <v>1.2428E-4</v>
      </c>
      <c r="D95" s="19">
        <f t="shared" si="58"/>
        <v>2.7699999999999999E-5</v>
      </c>
      <c r="E95" s="14" t="s">
        <v>30</v>
      </c>
      <c r="F95" s="19">
        <v>1.2428E-4</v>
      </c>
      <c r="G95" s="19">
        <v>2.7699999999999999E-5</v>
      </c>
      <c r="H95" s="19">
        <v>1.1385E-4</v>
      </c>
      <c r="I95" s="19">
        <v>4.5200000000000001E-5</v>
      </c>
      <c r="J95" s="14">
        <v>4.49</v>
      </c>
      <c r="K95" s="19">
        <f t="shared" si="59"/>
        <v>8.0459999999999999E-5</v>
      </c>
      <c r="L95" s="14">
        <v>1056.8430000000001</v>
      </c>
      <c r="M95" s="14">
        <v>0.88759999999999994</v>
      </c>
      <c r="N95" s="14">
        <v>967.77300000000002</v>
      </c>
      <c r="O95" s="14">
        <v>1.4801</v>
      </c>
      <c r="P95" s="14">
        <f t="shared" si="60"/>
        <v>-6.5686000000000151</v>
      </c>
      <c r="Q95" s="14">
        <f t="shared" si="61"/>
        <v>0.17752000000000001</v>
      </c>
      <c r="R95" s="14">
        <f t="shared" si="62"/>
        <v>-11.245399999999997</v>
      </c>
      <c r="S95" s="14">
        <f t="shared" si="63"/>
        <v>0.29602000000000001</v>
      </c>
      <c r="T95" s="15">
        <f>17.71*4.17</f>
        <v>73.850700000000003</v>
      </c>
      <c r="U95" s="22" t="s">
        <v>56</v>
      </c>
      <c r="V95" s="14">
        <v>0</v>
      </c>
      <c r="W95" s="14">
        <v>3.0929999999999998E-3</v>
      </c>
      <c r="X95" s="14">
        <v>0</v>
      </c>
      <c r="Y95" s="14">
        <v>0</v>
      </c>
      <c r="Z95" s="14">
        <v>7.7200000000000001E-4</v>
      </c>
      <c r="AA95" s="14">
        <v>112.40846999999999</v>
      </c>
      <c r="AB95" s="14">
        <v>68.474365000000006</v>
      </c>
      <c r="AC95" s="14">
        <v>154.12851000000001</v>
      </c>
      <c r="AD95" s="19">
        <v>1.4709999999999999E-7</v>
      </c>
      <c r="AE95" s="19">
        <v>2.6820000000000001E-5</v>
      </c>
      <c r="AF95" s="19">
        <v>9.7367000000000005E-5</v>
      </c>
      <c r="AG95" s="19">
        <v>-8.7639999999999994E-5</v>
      </c>
    </row>
    <row r="96" spans="2:33" x14ac:dyDescent="0.15">
      <c r="B96" s="14">
        <v>65000</v>
      </c>
      <c r="C96" s="19">
        <f t="shared" si="58"/>
        <v>1.1993E-4</v>
      </c>
      <c r="D96" s="19">
        <f t="shared" si="58"/>
        <v>3.01E-5</v>
      </c>
      <c r="E96" s="14" t="s">
        <v>30</v>
      </c>
      <c r="F96" s="19">
        <v>1.1993E-4</v>
      </c>
      <c r="G96" s="19">
        <v>3.01E-5</v>
      </c>
      <c r="H96" s="19">
        <v>1.1215E-4</v>
      </c>
      <c r="I96" s="19">
        <v>4.99E-5</v>
      </c>
      <c r="J96" s="14">
        <v>3.98</v>
      </c>
      <c r="K96" s="19">
        <f t="shared" si="59"/>
        <v>8.7059999999999997E-5</v>
      </c>
      <c r="L96" s="14">
        <v>1056.288</v>
      </c>
      <c r="M96" s="14">
        <v>0.95199999999999996</v>
      </c>
      <c r="N96" s="14">
        <v>967.36199999999997</v>
      </c>
      <c r="O96" s="14">
        <v>1.5872999999999999</v>
      </c>
      <c r="P96" s="14">
        <f t="shared" si="60"/>
        <v>-6.4576000000000029</v>
      </c>
      <c r="Q96" s="14">
        <f t="shared" si="61"/>
        <v>0.19040000000000001</v>
      </c>
      <c r="R96" s="14">
        <f t="shared" si="62"/>
        <v>-11.327600000000007</v>
      </c>
      <c r="S96" s="14">
        <f t="shared" si="63"/>
        <v>0.31746000000000002</v>
      </c>
      <c r="T96" s="15">
        <f>16.57*3.97</f>
        <v>65.782899999999998</v>
      </c>
      <c r="U96" s="22" t="s">
        <v>57</v>
      </c>
      <c r="V96" s="14">
        <v>0</v>
      </c>
      <c r="W96" s="14">
        <v>3.16E-3</v>
      </c>
      <c r="X96" s="14">
        <v>0</v>
      </c>
      <c r="Y96" s="14">
        <v>0</v>
      </c>
      <c r="Z96" s="14">
        <v>8.3500000000000002E-4</v>
      </c>
      <c r="AA96" s="14">
        <v>118.30036200000001</v>
      </c>
      <c r="AB96" s="14">
        <v>73.602538999999993</v>
      </c>
      <c r="AC96" s="14">
        <v>156.777512</v>
      </c>
      <c r="AD96" s="19">
        <v>6.9100000000000003E-8</v>
      </c>
      <c r="AE96" s="19">
        <v>2.902E-5</v>
      </c>
      <c r="AF96" s="19">
        <v>1.0616E-4</v>
      </c>
      <c r="AG96" s="19">
        <v>-9.6325999999999999E-5</v>
      </c>
    </row>
    <row r="97" spans="2:33" x14ac:dyDescent="0.15">
      <c r="B97" s="14">
        <v>70000</v>
      </c>
      <c r="C97" s="19">
        <f t="shared" si="58"/>
        <v>1.0842E-4</v>
      </c>
      <c r="D97" s="19">
        <f t="shared" si="58"/>
        <v>3.1900000000000003E-5</v>
      </c>
      <c r="E97" s="14" t="s">
        <v>30</v>
      </c>
      <c r="F97" s="19">
        <v>1.0842E-4</v>
      </c>
      <c r="G97" s="19">
        <v>3.1900000000000003E-5</v>
      </c>
      <c r="H97" s="19">
        <v>7.5916999999999998E-5</v>
      </c>
      <c r="I97" s="19">
        <v>4.3900000000000003E-5</v>
      </c>
      <c r="J97" s="14">
        <v>3.39</v>
      </c>
      <c r="K97" s="19">
        <f t="shared" si="59"/>
        <v>9.5370000000000003E-5</v>
      </c>
      <c r="L97" s="14">
        <v>1057.3920000000001</v>
      </c>
      <c r="M97" s="14">
        <v>0.91449999999999998</v>
      </c>
      <c r="N97" s="14">
        <v>969.16300000000001</v>
      </c>
      <c r="O97" s="14">
        <v>1.5062</v>
      </c>
      <c r="P97" s="14">
        <f t="shared" si="60"/>
        <v>-6.6784000000000106</v>
      </c>
      <c r="Q97" s="14">
        <f t="shared" si="61"/>
        <v>0.18290000000000001</v>
      </c>
      <c r="R97" s="14">
        <f t="shared" si="62"/>
        <v>-10.967399999999998</v>
      </c>
      <c r="S97" s="14">
        <f t="shared" si="63"/>
        <v>0.30124000000000001</v>
      </c>
      <c r="T97" s="15">
        <f>16.21*3.83</f>
        <v>62.084300000000006</v>
      </c>
      <c r="U97" s="22" t="s">
        <v>58</v>
      </c>
      <c r="V97" s="14">
        <v>0</v>
      </c>
      <c r="W97" s="14">
        <v>2.271E-3</v>
      </c>
      <c r="X97" s="14">
        <v>0</v>
      </c>
      <c r="Y97" s="14">
        <v>0</v>
      </c>
      <c r="Z97" s="14">
        <v>2.2880000000000001E-3</v>
      </c>
      <c r="AA97" s="14">
        <v>167.96612500000001</v>
      </c>
      <c r="AB97" s="14">
        <v>123.283691</v>
      </c>
      <c r="AC97" s="14">
        <v>32.610916000000003</v>
      </c>
      <c r="AD97" s="19">
        <v>-1.182E-7</v>
      </c>
      <c r="AE97" s="19">
        <v>3.1789999999999999E-5</v>
      </c>
      <c r="AF97" s="19">
        <v>1.0972E-4</v>
      </c>
      <c r="AG97" s="19">
        <v>-1.0719E-4</v>
      </c>
    </row>
    <row r="98" spans="2:33" x14ac:dyDescent="0.15">
      <c r="B98" s="14">
        <v>75000</v>
      </c>
      <c r="C98" s="19">
        <f t="shared" si="58"/>
        <v>1.1634E-4</v>
      </c>
      <c r="D98" s="19">
        <f t="shared" si="58"/>
        <v>3.3899999999999997E-5</v>
      </c>
      <c r="E98" s="14" t="s">
        <v>30</v>
      </c>
      <c r="F98" s="19">
        <v>1.1634E-4</v>
      </c>
      <c r="G98" s="19">
        <v>3.3899999999999997E-5</v>
      </c>
      <c r="H98" s="19">
        <v>8.6633999999999998E-5</v>
      </c>
      <c r="I98" s="19">
        <v>4.8399999999999997E-5</v>
      </c>
      <c r="J98" s="14">
        <v>3.43</v>
      </c>
      <c r="K98" s="19">
        <f t="shared" si="59"/>
        <v>1.0128000000000001E-4</v>
      </c>
      <c r="L98" s="14">
        <v>1057.8040000000001</v>
      </c>
      <c r="M98" s="14">
        <v>0.97750000000000004</v>
      </c>
      <c r="N98" s="14">
        <v>969.63199999999995</v>
      </c>
      <c r="O98" s="14">
        <v>1.5004</v>
      </c>
      <c r="P98" s="14">
        <f t="shared" si="60"/>
        <v>-6.7608000000000175</v>
      </c>
      <c r="Q98" s="14">
        <f t="shared" si="61"/>
        <v>0.19550000000000001</v>
      </c>
      <c r="R98" s="14">
        <f t="shared" si="62"/>
        <v>-10.87360000000001</v>
      </c>
      <c r="S98" s="14">
        <f t="shared" si="63"/>
        <v>0.30008000000000001</v>
      </c>
      <c r="T98" s="15">
        <f>16.33*3.74</f>
        <v>61.074199999999998</v>
      </c>
      <c r="U98" s="22" t="s">
        <v>59</v>
      </c>
      <c r="V98" s="14">
        <v>0</v>
      </c>
      <c r="W98" s="14">
        <v>2.2550000000000001E-3</v>
      </c>
      <c r="X98" s="14">
        <v>0</v>
      </c>
      <c r="Y98" s="14">
        <v>0</v>
      </c>
      <c r="Z98" s="14">
        <v>2.4940000000000001E-3</v>
      </c>
      <c r="AA98" s="14">
        <v>174.73736600000001</v>
      </c>
      <c r="AB98" s="14">
        <v>138.259827</v>
      </c>
      <c r="AC98" s="14">
        <v>36.771254999999996</v>
      </c>
      <c r="AD98" s="19">
        <v>-9.1570000000000005E-8</v>
      </c>
      <c r="AE98" s="19">
        <v>3.3760000000000002E-5</v>
      </c>
      <c r="AF98" s="19">
        <v>1.149E-4</v>
      </c>
      <c r="AG98" s="19">
        <v>-1.1145999999999999E-4</v>
      </c>
    </row>
    <row r="99" spans="2:33" x14ac:dyDescent="0.15">
      <c r="B99" s="14">
        <v>80000</v>
      </c>
      <c r="C99" s="19">
        <f t="shared" si="58"/>
        <v>1.3771000000000001E-4</v>
      </c>
      <c r="D99" s="19">
        <f t="shared" si="58"/>
        <v>4.0500000000000002E-5</v>
      </c>
      <c r="E99" s="14" t="s">
        <v>30</v>
      </c>
      <c r="F99" s="19">
        <v>1.3771000000000001E-4</v>
      </c>
      <c r="G99" s="19">
        <v>4.0500000000000002E-5</v>
      </c>
      <c r="H99" s="19">
        <v>1.0453E-4</v>
      </c>
      <c r="I99" s="19">
        <v>5.8499999999999999E-5</v>
      </c>
      <c r="J99" s="14">
        <v>3.4</v>
      </c>
      <c r="K99" s="19">
        <f t="shared" si="59"/>
        <v>1.3536000000000001E-4</v>
      </c>
      <c r="L99" s="14">
        <v>1057.8420000000001</v>
      </c>
      <c r="M99" s="14">
        <v>0.92900000000000005</v>
      </c>
      <c r="N99" s="14">
        <v>969.56600000000003</v>
      </c>
      <c r="O99" s="14">
        <v>1.4281999999999999</v>
      </c>
      <c r="P99" s="14">
        <f t="shared" si="60"/>
        <v>-6.7684000000000202</v>
      </c>
      <c r="Q99" s="14">
        <f t="shared" si="61"/>
        <v>0.18580000000000002</v>
      </c>
      <c r="R99" s="14">
        <f t="shared" si="62"/>
        <v>-10.886799999999994</v>
      </c>
      <c r="S99" s="14">
        <f t="shared" si="63"/>
        <v>0.28564000000000001</v>
      </c>
      <c r="T99" s="15">
        <f>15.41*3.5</f>
        <v>53.935000000000002</v>
      </c>
      <c r="U99" s="22" t="s">
        <v>60</v>
      </c>
      <c r="V99" s="14">
        <v>0</v>
      </c>
      <c r="W99" s="14">
        <v>2.0929999999999998E-3</v>
      </c>
      <c r="X99" s="14">
        <v>0</v>
      </c>
      <c r="Y99" s="14">
        <v>0</v>
      </c>
      <c r="Z99" s="14">
        <v>2.3149999999999998E-3</v>
      </c>
      <c r="AA99" s="14">
        <v>170.672867</v>
      </c>
      <c r="AB99" s="14">
        <v>129.54089400000001</v>
      </c>
      <c r="AC99" s="14">
        <v>26.392302999999998</v>
      </c>
      <c r="AD99" s="19">
        <v>3.3419999999999998E-8</v>
      </c>
      <c r="AE99" s="19">
        <v>4.5120000000000002E-5</v>
      </c>
      <c r="AF99" s="19">
        <v>1.473E-4</v>
      </c>
      <c r="AG99" s="19">
        <v>-1.5119999999999999E-4</v>
      </c>
    </row>
    <row r="100" spans="2:33" x14ac:dyDescent="0.15">
      <c r="B100" s="14">
        <v>85000</v>
      </c>
      <c r="C100" s="19">
        <f>3*AE100</f>
        <v>1.7817000000000001E-4</v>
      </c>
      <c r="D100" s="14">
        <v>0</v>
      </c>
      <c r="E100" s="14" t="s">
        <v>40</v>
      </c>
      <c r="F100" s="19">
        <v>1.3972999999999999E-4</v>
      </c>
      <c r="G100" s="19">
        <v>5.1100000000000002E-5</v>
      </c>
      <c r="H100" s="19">
        <v>9.5511000000000001E-5</v>
      </c>
      <c r="I100" s="19">
        <v>6.9300000000000004E-5</v>
      </c>
      <c r="J100" s="14">
        <v>2.73</v>
      </c>
      <c r="K100" s="19">
        <f t="shared" si="59"/>
        <v>1.7817000000000001E-4</v>
      </c>
      <c r="L100" s="14">
        <v>1083.191</v>
      </c>
      <c r="M100" s="14">
        <v>1.0544</v>
      </c>
      <c r="N100" s="14">
        <v>982.83600000000001</v>
      </c>
      <c r="O100" s="14">
        <v>1.5435000000000001</v>
      </c>
      <c r="P100" s="14">
        <f>(L100-1024)*(-0.2)</f>
        <v>-11.838200000000008</v>
      </c>
      <c r="Q100" s="14">
        <f>M100*0.2</f>
        <v>0.21088000000000001</v>
      </c>
      <c r="R100" s="14">
        <f>(N100-1024)*(0.2)</f>
        <v>-8.2327999999999975</v>
      </c>
      <c r="S100" s="14">
        <f>O100*0.2</f>
        <v>0.30870000000000003</v>
      </c>
      <c r="T100" s="15">
        <f>15.14*3.09</f>
        <v>46.782600000000002</v>
      </c>
      <c r="U100" s="22" t="s">
        <v>61</v>
      </c>
      <c r="V100" s="14">
        <v>0</v>
      </c>
      <c r="W100" s="14">
        <v>1.7639999999999999E-3</v>
      </c>
      <c r="X100" s="14">
        <v>0</v>
      </c>
      <c r="Y100" s="14">
        <v>0</v>
      </c>
      <c r="Z100" s="14">
        <v>2.0999999999999999E-3</v>
      </c>
      <c r="AA100" s="14">
        <v>160.19601399999999</v>
      </c>
      <c r="AB100" s="14">
        <v>115.938232</v>
      </c>
      <c r="AC100" s="14">
        <v>9.6929929999999995</v>
      </c>
      <c r="AD100" s="19">
        <v>3.7459999999999999E-8</v>
      </c>
      <c r="AE100" s="19">
        <v>5.9389999999999999E-5</v>
      </c>
      <c r="AF100" s="19">
        <v>1.9546E-4</v>
      </c>
      <c r="AG100" s="19">
        <v>-2.1986E-4</v>
      </c>
    </row>
    <row r="101" spans="2:33" x14ac:dyDescent="0.15">
      <c r="E101" s="20"/>
      <c r="F101" s="19"/>
      <c r="G101" s="19"/>
      <c r="H101" s="19"/>
      <c r="I101" s="19"/>
    </row>
    <row r="102" spans="2:33" x14ac:dyDescent="0.15">
      <c r="E102" s="20"/>
      <c r="F102" s="19"/>
      <c r="G102" s="19"/>
      <c r="H102" s="19"/>
      <c r="I102" s="19"/>
    </row>
    <row r="103" spans="2:33" x14ac:dyDescent="0.15"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spans="2:33" x14ac:dyDescent="0.15">
      <c r="E104" s="20"/>
      <c r="F104" s="19"/>
      <c r="G104" s="19"/>
      <c r="H104" s="19"/>
      <c r="I104" s="19"/>
    </row>
    <row r="105" spans="2:33" x14ac:dyDescent="0.15">
      <c r="E105" s="20"/>
      <c r="F105" s="19"/>
      <c r="G105" s="19"/>
      <c r="H105" s="19"/>
      <c r="I105" s="19"/>
    </row>
    <row r="106" spans="2:33" x14ac:dyDescent="0.15">
      <c r="E106" s="20"/>
      <c r="F106" s="19"/>
      <c r="G106" s="19"/>
      <c r="H106" s="19"/>
      <c r="I106" s="19"/>
    </row>
    <row r="107" spans="2:33" x14ac:dyDescent="0.15">
      <c r="E107" s="20"/>
      <c r="F107" s="19"/>
      <c r="G107" s="19"/>
      <c r="H107" s="19"/>
      <c r="I107" s="19"/>
      <c r="O107" s="15"/>
      <c r="P107" s="15"/>
    </row>
    <row r="108" spans="2:33" x14ac:dyDescent="0.15">
      <c r="E108" s="20"/>
      <c r="F108" s="19"/>
      <c r="G108" s="19"/>
      <c r="H108" s="19"/>
      <c r="I108" s="19"/>
      <c r="O108" s="15"/>
      <c r="P108" s="15"/>
      <c r="Q108" s="15"/>
      <c r="R108" s="15"/>
    </row>
    <row r="109" spans="2:33" x14ac:dyDescent="0.15">
      <c r="E109" s="20"/>
      <c r="F109" s="19"/>
      <c r="G109" s="19"/>
      <c r="H109" s="19"/>
    </row>
    <row r="110" spans="2:33" x14ac:dyDescent="0.15">
      <c r="E110" s="20"/>
      <c r="F110" s="19"/>
      <c r="G110" s="19"/>
      <c r="H110" s="19"/>
    </row>
    <row r="111" spans="2:33" x14ac:dyDescent="0.15">
      <c r="E111" s="20"/>
      <c r="F111" s="19"/>
      <c r="G111" s="19"/>
      <c r="H111" s="19"/>
    </row>
    <row r="112" spans="2:33" x14ac:dyDescent="0.15">
      <c r="E112" s="20"/>
      <c r="F112" s="19"/>
      <c r="G112" s="19"/>
      <c r="H112" s="19"/>
    </row>
    <row r="113" spans="5:15" x14ac:dyDescent="0.15">
      <c r="E113" s="20"/>
      <c r="F113" s="19"/>
      <c r="G113" s="19"/>
      <c r="H113" s="19"/>
    </row>
    <row r="114" spans="5:15" x14ac:dyDescent="0.15">
      <c r="E114" s="20"/>
      <c r="F114" s="19"/>
      <c r="G114" s="19"/>
      <c r="H114" s="19"/>
    </row>
    <row r="115" spans="5:15" x14ac:dyDescent="0.15">
      <c r="E115" s="20"/>
      <c r="F115" s="19"/>
      <c r="G115" s="19"/>
      <c r="H115" s="19"/>
    </row>
    <row r="116" spans="5:15" x14ac:dyDescent="0.15">
      <c r="E116" s="20"/>
      <c r="F116" s="19"/>
      <c r="G116" s="19"/>
      <c r="H116" s="19"/>
    </row>
    <row r="117" spans="5:15" x14ac:dyDescent="0.15">
      <c r="F117" s="19"/>
      <c r="G117" s="19"/>
      <c r="H117" s="19"/>
    </row>
    <row r="118" spans="5:15" x14ac:dyDescent="0.15">
      <c r="F118" s="19"/>
      <c r="G118" s="19"/>
      <c r="H118" s="19"/>
    </row>
    <row r="119" spans="5:15" x14ac:dyDescent="0.15">
      <c r="F119" s="19"/>
      <c r="G119" s="19"/>
      <c r="H119" s="19"/>
    </row>
    <row r="120" spans="5:15" x14ac:dyDescent="0.15">
      <c r="F120" s="19"/>
      <c r="G120" s="19"/>
      <c r="H120" s="19"/>
    </row>
    <row r="121" spans="5:15" x14ac:dyDescent="0.15">
      <c r="F121" s="19"/>
      <c r="G121" s="19"/>
      <c r="H121" s="19"/>
    </row>
    <row r="124" spans="5:15" x14ac:dyDescent="0.15">
      <c r="I124" s="15"/>
      <c r="N124" s="15"/>
      <c r="O124" s="15"/>
    </row>
    <row r="125" spans="5:15" x14ac:dyDescent="0.15">
      <c r="I125" s="15"/>
      <c r="N125" s="15"/>
      <c r="O125" s="15"/>
    </row>
    <row r="126" spans="5:15" x14ac:dyDescent="0.15">
      <c r="I126" s="15"/>
      <c r="N126" s="15"/>
    </row>
    <row r="127" spans="5:15" x14ac:dyDescent="0.15">
      <c r="I127" s="15"/>
      <c r="N127" s="15"/>
    </row>
    <row r="128" spans="5:15" x14ac:dyDescent="0.15">
      <c r="I128" s="15"/>
      <c r="N128" s="15"/>
    </row>
    <row r="129" spans="9:14" x14ac:dyDescent="0.15">
      <c r="I129" s="15"/>
      <c r="N129" s="15"/>
    </row>
    <row r="130" spans="9:14" x14ac:dyDescent="0.15">
      <c r="I130" s="15"/>
      <c r="J130" s="19"/>
      <c r="N130" s="15"/>
    </row>
  </sheetData>
  <mergeCells count="4">
    <mergeCell ref="I3:J3"/>
    <mergeCell ref="D3:E3"/>
    <mergeCell ref="Q50:Y50"/>
    <mergeCell ref="Z50:AC50"/>
  </mergeCells>
  <conditionalFormatting sqref="B52:B5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2:B55 B5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2:B6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2:B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3:B8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3:B86 B8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3:B9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3:B1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4A77-47E6-4647-9521-1F5670F6E1F0}">
  <dimension ref="A1:AK135"/>
  <sheetViews>
    <sheetView zoomScale="119" zoomScaleNormal="247" workbookViewId="0">
      <selection activeCell="C1" sqref="C1"/>
    </sheetView>
  </sheetViews>
  <sheetFormatPr baseColWidth="10" defaultRowHeight="13" x14ac:dyDescent="0.15"/>
  <cols>
    <col min="1" max="4" width="10.83203125" style="14"/>
    <col min="5" max="5" width="13.6640625" style="14" customWidth="1"/>
    <col min="6" max="16384" width="10.83203125" style="14"/>
  </cols>
  <sheetData>
    <row r="1" spans="2:37" x14ac:dyDescent="0.15">
      <c r="C1" s="15" t="s">
        <v>82</v>
      </c>
      <c r="D1" s="15"/>
      <c r="E1" s="15" t="s">
        <v>2</v>
      </c>
    </row>
    <row r="2" spans="2:37" x14ac:dyDescent="0.15">
      <c r="C2" s="14" t="s">
        <v>38</v>
      </c>
      <c r="F2" s="15"/>
      <c r="H2" s="15" t="s">
        <v>39</v>
      </c>
      <c r="I2" s="15"/>
      <c r="J2" s="15"/>
      <c r="K2" s="15"/>
      <c r="S2" s="15"/>
      <c r="T2" s="15"/>
      <c r="U2" s="15"/>
      <c r="V2" s="15"/>
      <c r="W2" s="15"/>
      <c r="X2" s="15"/>
      <c r="Y2" s="15"/>
      <c r="Z2" s="15"/>
    </row>
    <row r="3" spans="2:37" ht="14" x14ac:dyDescent="0.15">
      <c r="B3" s="15" t="s">
        <v>5</v>
      </c>
      <c r="C3" s="15" t="s">
        <v>35</v>
      </c>
      <c r="D3" s="37" t="s">
        <v>6</v>
      </c>
      <c r="E3" s="37"/>
      <c r="F3" s="15" t="s">
        <v>34</v>
      </c>
      <c r="G3" s="15" t="s">
        <v>10</v>
      </c>
      <c r="H3" s="15" t="s">
        <v>35</v>
      </c>
      <c r="I3" s="37" t="s">
        <v>6</v>
      </c>
      <c r="J3" s="37"/>
      <c r="K3" s="15" t="s">
        <v>34</v>
      </c>
      <c r="L3" s="15" t="s">
        <v>10</v>
      </c>
      <c r="M3" s="15"/>
      <c r="AB3" s="6" t="s">
        <v>65</v>
      </c>
      <c r="AC3" s="3" t="s">
        <v>66</v>
      </c>
      <c r="AD3" s="3" t="s">
        <v>6</v>
      </c>
      <c r="AH3" s="6" t="s">
        <v>41</v>
      </c>
      <c r="AI3" s="6" t="s">
        <v>42</v>
      </c>
      <c r="AJ3" s="6" t="s">
        <v>41</v>
      </c>
      <c r="AK3" s="6" t="s">
        <v>42</v>
      </c>
    </row>
    <row r="4" spans="2:37" ht="14" x14ac:dyDescent="0.15">
      <c r="B4" s="15">
        <v>1100</v>
      </c>
      <c r="C4" s="15">
        <f>1000*C54</f>
        <v>1.8236999999999999</v>
      </c>
      <c r="D4" s="15">
        <f>1000*D54</f>
        <v>6.2199999999999991E-2</v>
      </c>
      <c r="E4" s="15"/>
      <c r="F4" s="14">
        <f>1000*AE54</f>
        <v>2.8900000000000002E-2</v>
      </c>
      <c r="G4" s="15" t="str">
        <f>E54</f>
        <v>Resolved</v>
      </c>
      <c r="H4" s="27"/>
      <c r="I4" s="27"/>
      <c r="J4" s="27"/>
      <c r="K4" s="27"/>
      <c r="L4" s="27"/>
      <c r="W4" s="19"/>
      <c r="X4" s="19"/>
      <c r="Y4" s="19"/>
      <c r="Z4" s="19"/>
      <c r="AB4" s="15">
        <v>1100</v>
      </c>
      <c r="AC4" s="26"/>
      <c r="AD4" s="26"/>
      <c r="AG4" s="15">
        <v>1100</v>
      </c>
      <c r="AH4" s="19">
        <f>C4+D4</f>
        <v>1.8858999999999999</v>
      </c>
      <c r="AI4" s="19">
        <f>C4-D4</f>
        <v>1.7614999999999998</v>
      </c>
      <c r="AJ4" s="26"/>
      <c r="AK4" s="26"/>
    </row>
    <row r="5" spans="2:37" x14ac:dyDescent="0.15">
      <c r="B5" s="14">
        <v>3620</v>
      </c>
      <c r="C5" s="27"/>
      <c r="D5" s="27"/>
      <c r="E5" s="27"/>
      <c r="F5" s="27"/>
      <c r="G5" s="27"/>
      <c r="H5" s="14">
        <f>1000*C85</f>
        <v>1.2746000000000002</v>
      </c>
      <c r="I5" s="14">
        <f>1000*D85</f>
        <v>5.5600000000000004E-2</v>
      </c>
      <c r="K5" s="14">
        <f>1000*AE85</f>
        <v>2.1480000000000003E-2</v>
      </c>
      <c r="L5" s="15" t="str">
        <f>E85</f>
        <v>Resolved</v>
      </c>
      <c r="W5" s="19"/>
      <c r="X5" s="19"/>
      <c r="Y5" s="19"/>
      <c r="Z5" s="19"/>
      <c r="AB5" s="14">
        <v>3620</v>
      </c>
      <c r="AC5" s="24"/>
      <c r="AD5" s="24"/>
      <c r="AG5" s="14">
        <v>3620</v>
      </c>
      <c r="AH5" s="23"/>
      <c r="AI5" s="23"/>
      <c r="AJ5" s="19">
        <f>H5+I5</f>
        <v>1.3302000000000003</v>
      </c>
      <c r="AK5" s="19">
        <f>H5-I5</f>
        <v>1.2190000000000001</v>
      </c>
    </row>
    <row r="6" spans="2:37" x14ac:dyDescent="0.15">
      <c r="B6" s="14">
        <v>4000</v>
      </c>
      <c r="C6" s="15">
        <f>1000*C55</f>
        <v>1.8864000000000001</v>
      </c>
      <c r="D6" s="15">
        <f>1000*D55</f>
        <v>6.2399999999999997E-2</v>
      </c>
      <c r="E6" s="15"/>
      <c r="F6" s="14">
        <f>1000*AE55</f>
        <v>3.0840000000000003E-2</v>
      </c>
      <c r="G6" s="15" t="str">
        <f>E55</f>
        <v>Resolved</v>
      </c>
      <c r="H6" s="14">
        <f t="shared" ref="H6:I6" si="0">1000*C86</f>
        <v>1.2145999999999999</v>
      </c>
      <c r="I6" s="14">
        <f t="shared" si="0"/>
        <v>5.6899999999999999E-2</v>
      </c>
      <c r="K6" s="14">
        <f t="shared" ref="K6:K14" si="1">1000*AE86</f>
        <v>2.3220000000000001E-2</v>
      </c>
      <c r="L6" s="15" t="str">
        <f t="shared" ref="L6:L14" si="2">E86</f>
        <v>Resolved</v>
      </c>
      <c r="W6" s="19"/>
      <c r="X6" s="19"/>
      <c r="Y6" s="19"/>
      <c r="Z6" s="19"/>
      <c r="AB6" s="14">
        <v>4000</v>
      </c>
      <c r="AC6" s="14">
        <f>LOG10(H6/C6)/LOG10(4.8/1.4)</f>
        <v>-0.35730852903272053</v>
      </c>
      <c r="AD6" s="14">
        <f>(1/(LN(4.8/1.4)))*SQRT((D6/C6)^2+(I6/H6)^2)</f>
        <v>4.6543502376661022E-2</v>
      </c>
      <c r="AG6" s="14">
        <v>4000</v>
      </c>
      <c r="AH6" s="19">
        <f t="shared" ref="AH6:AH15" si="3">C6+D6</f>
        <v>1.9488000000000001</v>
      </c>
      <c r="AI6" s="19">
        <f t="shared" ref="AI6:AI15" si="4">C6-D6</f>
        <v>1.8240000000000001</v>
      </c>
      <c r="AJ6" s="19">
        <f t="shared" ref="AJ6:AJ24" si="5">H6+I6</f>
        <v>1.2714999999999999</v>
      </c>
      <c r="AK6" s="19">
        <f t="shared" ref="AK6:AK24" si="6">H6-I6</f>
        <v>1.1577</v>
      </c>
    </row>
    <row r="7" spans="2:37" x14ac:dyDescent="0.15">
      <c r="B7" s="15">
        <v>7500</v>
      </c>
      <c r="C7" s="15">
        <f t="shared" ref="C7:D7" si="7">1000*C56</f>
        <v>1.3760000000000001</v>
      </c>
      <c r="D7" s="15">
        <f t="shared" si="7"/>
        <v>3.3000000000000002E-2</v>
      </c>
      <c r="E7" s="15"/>
      <c r="F7" s="14">
        <f t="shared" ref="F7:F15" si="8">1000*AE56</f>
        <v>3.177E-2</v>
      </c>
      <c r="G7" s="15" t="str">
        <f t="shared" ref="G7:G15" si="9">E56</f>
        <v>? (Unresolved)</v>
      </c>
      <c r="H7" s="14">
        <f t="shared" ref="H7:I7" si="10">1000*C87</f>
        <v>1.2231000000000001</v>
      </c>
      <c r="I7" s="14">
        <f t="shared" si="10"/>
        <v>5.74E-2</v>
      </c>
      <c r="K7" s="14">
        <f t="shared" si="1"/>
        <v>2.3309999999999997E-2</v>
      </c>
      <c r="L7" s="15" t="str">
        <f t="shared" si="2"/>
        <v>Resolved</v>
      </c>
      <c r="AB7" s="15">
        <v>7500</v>
      </c>
      <c r="AC7" s="14">
        <f t="shared" ref="AC7:AC12" si="11">LOG10(H7/C7)/LOG10(4.8/1.4)</f>
        <v>-9.5599337795083075E-2</v>
      </c>
      <c r="AD7" s="14">
        <f t="shared" ref="AD7:AD12" si="12">(1/(LN(4.8/1.4)))*SQRT((D7/C7)^2+(I7/H7)^2)</f>
        <v>4.2773231379871837E-2</v>
      </c>
      <c r="AG7" s="15">
        <v>7500</v>
      </c>
      <c r="AH7" s="19">
        <f t="shared" si="3"/>
        <v>1.409</v>
      </c>
      <c r="AI7" s="19">
        <f t="shared" si="4"/>
        <v>1.3430000000000002</v>
      </c>
      <c r="AJ7" s="19">
        <f t="shared" si="5"/>
        <v>1.2805</v>
      </c>
      <c r="AK7" s="19">
        <f t="shared" si="6"/>
        <v>1.1657000000000002</v>
      </c>
    </row>
    <row r="8" spans="2:37" x14ac:dyDescent="0.15">
      <c r="B8" s="15">
        <v>10000</v>
      </c>
      <c r="C8" s="15">
        <f t="shared" ref="C8:D8" si="13">1000*C57</f>
        <v>1.2889999999999999</v>
      </c>
      <c r="D8" s="15">
        <f t="shared" si="13"/>
        <v>3.7999999999999999E-2</v>
      </c>
      <c r="E8" s="15"/>
      <c r="F8" s="14">
        <f t="shared" si="8"/>
        <v>3.8580000000000003E-2</v>
      </c>
      <c r="G8" s="15" t="str">
        <f t="shared" si="9"/>
        <v>? (Unresolved)</v>
      </c>
      <c r="H8" s="14">
        <f t="shared" ref="H8:I8" si="14">1000*C88</f>
        <v>1.2635999999999998</v>
      </c>
      <c r="I8" s="14">
        <f t="shared" si="14"/>
        <v>5.9200000000000003E-2</v>
      </c>
      <c r="K8" s="14">
        <f t="shared" si="1"/>
        <v>2.3300000000000001E-2</v>
      </c>
      <c r="L8" s="15" t="str">
        <f t="shared" si="2"/>
        <v>Resolved</v>
      </c>
      <c r="AB8" s="15">
        <v>10000</v>
      </c>
      <c r="AC8" s="14">
        <f t="shared" si="11"/>
        <v>-1.6152283466144474E-2</v>
      </c>
      <c r="AD8" s="14">
        <f t="shared" si="12"/>
        <v>4.4924703299857885E-2</v>
      </c>
      <c r="AG8" s="15">
        <v>10000</v>
      </c>
      <c r="AH8" s="19">
        <f t="shared" si="3"/>
        <v>1.327</v>
      </c>
      <c r="AI8" s="19">
        <f t="shared" si="4"/>
        <v>1.2509999999999999</v>
      </c>
      <c r="AJ8" s="19">
        <f t="shared" si="5"/>
        <v>1.3227999999999998</v>
      </c>
      <c r="AK8" s="19">
        <f t="shared" si="6"/>
        <v>1.2043999999999999</v>
      </c>
    </row>
    <row r="9" spans="2:37" x14ac:dyDescent="0.15">
      <c r="B9" s="15">
        <v>15000</v>
      </c>
      <c r="C9" s="15">
        <f t="shared" ref="C9:D9" si="15">1000*C58</f>
        <v>1.1447000000000001</v>
      </c>
      <c r="D9" s="15">
        <f t="shared" si="15"/>
        <v>4.7E-2</v>
      </c>
      <c r="E9" s="15"/>
      <c r="F9" s="14">
        <f t="shared" si="8"/>
        <v>4.505E-2</v>
      </c>
      <c r="G9" s="15" t="str">
        <f t="shared" si="9"/>
        <v>Unresolved</v>
      </c>
      <c r="H9" s="14">
        <f t="shared" ref="H9:I9" si="16">1000*C89</f>
        <v>1.1838</v>
      </c>
      <c r="I9" s="14">
        <f t="shared" si="16"/>
        <v>5.6899999999999999E-2</v>
      </c>
      <c r="K9" s="14">
        <f t="shared" si="1"/>
        <v>2.3620000000000002E-2</v>
      </c>
      <c r="L9" s="15" t="str">
        <f t="shared" si="2"/>
        <v>Resolved</v>
      </c>
      <c r="AB9" s="15">
        <v>15000</v>
      </c>
      <c r="AC9" s="14">
        <f t="shared" si="11"/>
        <v>2.7259003833836972E-2</v>
      </c>
      <c r="AD9" s="14">
        <f t="shared" si="12"/>
        <v>5.1304800040831849E-2</v>
      </c>
      <c r="AG9" s="15">
        <v>15000</v>
      </c>
      <c r="AH9" s="19">
        <f t="shared" si="3"/>
        <v>1.1917</v>
      </c>
      <c r="AI9" s="19">
        <f t="shared" si="4"/>
        <v>1.0977000000000001</v>
      </c>
      <c r="AJ9" s="19">
        <f t="shared" si="5"/>
        <v>1.2406999999999999</v>
      </c>
      <c r="AK9" s="19">
        <f t="shared" si="6"/>
        <v>1.1269</v>
      </c>
    </row>
    <row r="10" spans="2:37" x14ac:dyDescent="0.15">
      <c r="B10" s="15">
        <v>20000</v>
      </c>
      <c r="C10" s="15">
        <f t="shared" ref="C10:D10" si="17">1000*C59</f>
        <v>1.0980000000000001</v>
      </c>
      <c r="D10" s="15">
        <f t="shared" si="17"/>
        <v>6.1400000000000003E-2</v>
      </c>
      <c r="E10" s="15"/>
      <c r="F10" s="14">
        <f t="shared" si="8"/>
        <v>5.6320000000000002E-2</v>
      </c>
      <c r="G10" s="15" t="str">
        <f t="shared" si="9"/>
        <v>Unresolved</v>
      </c>
      <c r="H10" s="14">
        <f t="shared" ref="H10:I10" si="18">1000*C90</f>
        <v>1.0023</v>
      </c>
      <c r="I10" s="14">
        <f t="shared" si="18"/>
        <v>5.4500000000000007E-2</v>
      </c>
      <c r="K10" s="14">
        <f t="shared" si="1"/>
        <v>2.2540000000000001E-2</v>
      </c>
      <c r="L10" s="15" t="str">
        <f t="shared" si="2"/>
        <v>Resolved</v>
      </c>
      <c r="AB10" s="15">
        <v>20000</v>
      </c>
      <c r="AC10" s="14">
        <f t="shared" si="11"/>
        <v>-7.4011647686238691E-2</v>
      </c>
      <c r="AD10" s="14">
        <f t="shared" si="12"/>
        <v>6.3302557132939238E-2</v>
      </c>
      <c r="AG10" s="15">
        <v>20000</v>
      </c>
      <c r="AH10" s="19">
        <f t="shared" si="3"/>
        <v>1.1594</v>
      </c>
      <c r="AI10" s="19">
        <f t="shared" si="4"/>
        <v>1.0366000000000002</v>
      </c>
      <c r="AJ10" s="19">
        <f t="shared" si="5"/>
        <v>1.0568</v>
      </c>
      <c r="AK10" s="19">
        <f t="shared" si="6"/>
        <v>0.94779999999999998</v>
      </c>
    </row>
    <row r="11" spans="2:37" x14ac:dyDescent="0.15">
      <c r="B11" s="15">
        <v>25000</v>
      </c>
      <c r="C11" s="15">
        <f t="shared" ref="C11:D11" si="19">1000*C60</f>
        <v>0.97725000000000006</v>
      </c>
      <c r="D11" s="15">
        <f t="shared" si="19"/>
        <v>8.7399999999999992E-2</v>
      </c>
      <c r="E11" s="15"/>
      <c r="F11" s="14">
        <f t="shared" si="8"/>
        <v>8.3599999999999994E-2</v>
      </c>
      <c r="G11" s="15" t="str">
        <f t="shared" si="9"/>
        <v>Unresolved</v>
      </c>
      <c r="H11" s="14">
        <f t="shared" ref="H11:I11" si="20">1000*C91</f>
        <v>0.63650999999999991</v>
      </c>
      <c r="I11" s="14">
        <f t="shared" si="20"/>
        <v>4.5599999999999995E-2</v>
      </c>
      <c r="K11" s="14">
        <f t="shared" si="1"/>
        <v>2.2770000000000002E-2</v>
      </c>
      <c r="L11" s="15" t="str">
        <f t="shared" si="2"/>
        <v>Resolved</v>
      </c>
      <c r="AB11" s="15">
        <v>25000</v>
      </c>
      <c r="AC11" s="14">
        <f t="shared" si="11"/>
        <v>-0.34796459405622177</v>
      </c>
      <c r="AD11" s="14">
        <f t="shared" si="12"/>
        <v>9.3000770107055875E-2</v>
      </c>
      <c r="AG11" s="15">
        <v>25000</v>
      </c>
      <c r="AH11" s="19">
        <f t="shared" si="3"/>
        <v>1.0646500000000001</v>
      </c>
      <c r="AI11" s="19">
        <f t="shared" si="4"/>
        <v>0.88985000000000003</v>
      </c>
      <c r="AJ11" s="19">
        <f t="shared" si="5"/>
        <v>0.68210999999999988</v>
      </c>
      <c r="AK11" s="19">
        <f t="shared" si="6"/>
        <v>0.59090999999999994</v>
      </c>
    </row>
    <row r="12" spans="2:37" x14ac:dyDescent="0.15">
      <c r="B12" s="15">
        <v>30000</v>
      </c>
      <c r="C12" s="15">
        <f t="shared" ref="C12:D12" si="21">1000*C61</f>
        <v>0.318</v>
      </c>
      <c r="D12" s="15">
        <f t="shared" si="21"/>
        <v>0</v>
      </c>
      <c r="E12" s="15"/>
      <c r="F12" s="14">
        <f t="shared" si="8"/>
        <v>0.106</v>
      </c>
      <c r="G12" s="15" t="str">
        <f t="shared" si="9"/>
        <v>Non-detection</v>
      </c>
      <c r="H12" s="14">
        <f t="shared" ref="H12:I12" si="22">1000*C92</f>
        <v>0.42479</v>
      </c>
      <c r="I12" s="14">
        <f t="shared" si="22"/>
        <v>2.41E-2</v>
      </c>
      <c r="K12" s="14">
        <f t="shared" si="1"/>
        <v>2.444E-2</v>
      </c>
      <c r="L12" s="15" t="str">
        <f>E92</f>
        <v>? (Unresolved)</v>
      </c>
      <c r="AB12" s="15">
        <v>30000</v>
      </c>
      <c r="AC12" s="14">
        <f t="shared" si="11"/>
        <v>0.23499170654924798</v>
      </c>
      <c r="AD12" s="14">
        <f t="shared" si="12"/>
        <v>4.6044886195656817E-2</v>
      </c>
      <c r="AG12" s="15">
        <v>30000</v>
      </c>
      <c r="AH12" s="19">
        <f t="shared" si="3"/>
        <v>0.318</v>
      </c>
      <c r="AI12" s="19">
        <f t="shared" si="4"/>
        <v>0.318</v>
      </c>
      <c r="AJ12" s="19">
        <f t="shared" si="5"/>
        <v>0.44889000000000001</v>
      </c>
      <c r="AK12" s="19">
        <f t="shared" si="6"/>
        <v>0.40068999999999999</v>
      </c>
    </row>
    <row r="13" spans="2:37" x14ac:dyDescent="0.15">
      <c r="B13" s="15">
        <v>35000</v>
      </c>
      <c r="C13" s="30">
        <f t="shared" ref="C13:D13" si="23">1000*C62</f>
        <v>0.50640000000000007</v>
      </c>
      <c r="D13" s="30">
        <f t="shared" si="23"/>
        <v>0</v>
      </c>
      <c r="E13" s="30"/>
      <c r="F13" s="30">
        <f t="shared" si="8"/>
        <v>0.16880000000000001</v>
      </c>
      <c r="G13" s="30" t="str">
        <f t="shared" si="9"/>
        <v>Non-detection</v>
      </c>
      <c r="H13" s="14">
        <f t="shared" ref="H13:I13" si="24">1000*C93</f>
        <v>0.45482</v>
      </c>
      <c r="I13" s="14">
        <f t="shared" si="24"/>
        <v>2.47E-2</v>
      </c>
      <c r="K13" s="14">
        <f t="shared" si="1"/>
        <v>2.5649999999999999E-2</v>
      </c>
      <c r="L13" s="15" t="str">
        <f t="shared" si="2"/>
        <v>? (Unresolved)</v>
      </c>
      <c r="AB13" s="15">
        <v>35000</v>
      </c>
      <c r="AC13" s="24"/>
      <c r="AD13" s="24"/>
      <c r="AG13" s="15">
        <v>35000</v>
      </c>
      <c r="AH13" s="19">
        <f t="shared" si="3"/>
        <v>0.50640000000000007</v>
      </c>
      <c r="AI13" s="19">
        <f t="shared" si="4"/>
        <v>0.50640000000000007</v>
      </c>
      <c r="AJ13" s="19">
        <f t="shared" si="5"/>
        <v>0.47952</v>
      </c>
      <c r="AK13" s="19">
        <f t="shared" si="6"/>
        <v>0.43012</v>
      </c>
    </row>
    <row r="14" spans="2:37" x14ac:dyDescent="0.15">
      <c r="B14" s="15">
        <v>40000</v>
      </c>
      <c r="C14" s="30">
        <f t="shared" ref="C14:D14" si="25">1000*C63</f>
        <v>0.57269999999999999</v>
      </c>
      <c r="D14" s="30">
        <f t="shared" si="25"/>
        <v>0</v>
      </c>
      <c r="E14" s="30"/>
      <c r="F14" s="30">
        <f t="shared" si="8"/>
        <v>0.19090000000000001</v>
      </c>
      <c r="G14" s="30" t="str">
        <f t="shared" si="9"/>
        <v>Non-detection</v>
      </c>
      <c r="H14" s="14">
        <f t="shared" ref="H14:I14" si="26">1000*C94</f>
        <v>0.44830999999999999</v>
      </c>
      <c r="I14" s="14">
        <f t="shared" si="26"/>
        <v>2.53E-2</v>
      </c>
      <c r="K14" s="14">
        <f t="shared" si="1"/>
        <v>2.683E-2</v>
      </c>
      <c r="L14" s="15" t="str">
        <f t="shared" si="2"/>
        <v>Unresolved</v>
      </c>
      <c r="AB14" s="15">
        <v>40000</v>
      </c>
      <c r="AC14" s="24"/>
      <c r="AD14" s="24"/>
      <c r="AG14" s="15">
        <v>40000</v>
      </c>
      <c r="AH14" s="19">
        <f t="shared" si="3"/>
        <v>0.57269999999999999</v>
      </c>
      <c r="AI14" s="19">
        <f t="shared" si="4"/>
        <v>0.57269999999999999</v>
      </c>
      <c r="AJ14" s="19">
        <f t="shared" si="5"/>
        <v>0.47360999999999998</v>
      </c>
      <c r="AK14" s="19">
        <f t="shared" si="6"/>
        <v>0.42301</v>
      </c>
    </row>
    <row r="15" spans="2:37" x14ac:dyDescent="0.15">
      <c r="B15" s="15">
        <v>43000</v>
      </c>
      <c r="C15" s="30">
        <f t="shared" ref="C15:D15" si="27">1000*C64</f>
        <v>0.46320000000000006</v>
      </c>
      <c r="D15" s="30">
        <f t="shared" si="27"/>
        <v>0</v>
      </c>
      <c r="E15" s="30"/>
      <c r="F15" s="30">
        <f t="shared" si="8"/>
        <v>0.15440000000000001</v>
      </c>
      <c r="G15" s="30" t="str">
        <f t="shared" si="9"/>
        <v>Non-detection</v>
      </c>
      <c r="H15" s="27"/>
      <c r="I15" s="27"/>
      <c r="J15" s="27"/>
      <c r="K15" s="27"/>
      <c r="L15" s="27"/>
      <c r="AB15" s="15">
        <v>43000</v>
      </c>
      <c r="AC15" s="24"/>
      <c r="AD15" s="24"/>
      <c r="AG15" s="15">
        <v>43000</v>
      </c>
      <c r="AH15" s="19">
        <f t="shared" si="3"/>
        <v>0.46320000000000006</v>
      </c>
      <c r="AI15" s="19">
        <f t="shared" si="4"/>
        <v>0.46320000000000006</v>
      </c>
      <c r="AJ15" s="25"/>
      <c r="AK15" s="25"/>
    </row>
    <row r="16" spans="2:37" x14ac:dyDescent="0.15">
      <c r="B16" s="15">
        <v>45000</v>
      </c>
      <c r="C16" s="29"/>
      <c r="D16" s="29"/>
      <c r="E16" s="29"/>
      <c r="F16" s="27"/>
      <c r="G16" s="27"/>
      <c r="H16" s="14">
        <f>1000*C95</f>
        <v>0.43608999999999998</v>
      </c>
      <c r="I16" s="14">
        <f>1000*D95</f>
        <v>2.6200000000000001E-2</v>
      </c>
      <c r="K16" s="14">
        <f>1000*AE95</f>
        <v>2.6769999999999999E-2</v>
      </c>
      <c r="L16" s="15" t="str">
        <f>E95</f>
        <v>Unresolved</v>
      </c>
      <c r="AB16" s="15">
        <v>45000</v>
      </c>
      <c r="AC16" s="24"/>
      <c r="AD16" s="24"/>
      <c r="AG16" s="15">
        <v>45000</v>
      </c>
      <c r="AH16" s="25"/>
      <c r="AI16" s="25"/>
      <c r="AJ16" s="19">
        <f t="shared" si="5"/>
        <v>0.46228999999999998</v>
      </c>
      <c r="AK16" s="19">
        <f t="shared" si="6"/>
        <v>0.40988999999999998</v>
      </c>
    </row>
    <row r="17" spans="2:37" x14ac:dyDescent="0.15">
      <c r="B17" s="15">
        <v>50000</v>
      </c>
      <c r="C17" s="29"/>
      <c r="D17" s="29"/>
      <c r="E17" s="29"/>
      <c r="F17" s="27"/>
      <c r="G17" s="27"/>
      <c r="H17" s="14">
        <f t="shared" ref="H17:I24" si="28">1000*C96</f>
        <v>0.34183000000000002</v>
      </c>
      <c r="I17" s="14">
        <f t="shared" si="28"/>
        <v>2.81E-2</v>
      </c>
      <c r="K17" s="14">
        <f t="shared" ref="K17:K24" si="29">1000*AE96</f>
        <v>2.8469999999999999E-2</v>
      </c>
      <c r="L17" s="15" t="str">
        <f t="shared" ref="L17:L24" si="30">E96</f>
        <v>? (Unresolved)</v>
      </c>
      <c r="AB17" s="15">
        <v>50000</v>
      </c>
      <c r="AC17" s="24"/>
      <c r="AD17" s="24"/>
      <c r="AG17" s="15">
        <v>50000</v>
      </c>
      <c r="AH17" s="24"/>
      <c r="AI17" s="24"/>
      <c r="AJ17" s="19">
        <f t="shared" si="5"/>
        <v>0.36993000000000004</v>
      </c>
      <c r="AK17" s="19">
        <f t="shared" si="6"/>
        <v>0.31373000000000001</v>
      </c>
    </row>
    <row r="18" spans="2:37" x14ac:dyDescent="0.15">
      <c r="B18" s="15">
        <v>55000</v>
      </c>
      <c r="C18" s="29"/>
      <c r="D18" s="29"/>
      <c r="E18" s="29"/>
      <c r="F18" s="27"/>
      <c r="G18" s="27"/>
      <c r="H18" s="14">
        <f t="shared" si="28"/>
        <v>0.30903999999999998</v>
      </c>
      <c r="I18" s="14">
        <f t="shared" si="28"/>
        <v>2.8900000000000002E-2</v>
      </c>
      <c r="K18" s="14">
        <f t="shared" si="29"/>
        <v>2.8880000000000003E-2</v>
      </c>
      <c r="L18" s="15" t="str">
        <f t="shared" si="30"/>
        <v>? (Unresolved)</v>
      </c>
      <c r="AB18" s="15">
        <v>55000</v>
      </c>
      <c r="AC18" s="24"/>
      <c r="AD18" s="24"/>
      <c r="AG18" s="15">
        <v>55000</v>
      </c>
      <c r="AH18" s="24"/>
      <c r="AI18" s="24"/>
      <c r="AJ18" s="19">
        <f t="shared" si="5"/>
        <v>0.33793999999999996</v>
      </c>
      <c r="AK18" s="19">
        <f t="shared" si="6"/>
        <v>0.28014</v>
      </c>
    </row>
    <row r="19" spans="2:37" x14ac:dyDescent="0.15">
      <c r="B19" s="15">
        <v>60000</v>
      </c>
      <c r="C19" s="29"/>
      <c r="D19" s="29"/>
      <c r="E19" s="29"/>
      <c r="F19" s="27"/>
      <c r="G19" s="27"/>
      <c r="H19" s="14">
        <f t="shared" si="28"/>
        <v>0.23532</v>
      </c>
      <c r="I19" s="14">
        <f t="shared" si="28"/>
        <v>3.3599999999999998E-2</v>
      </c>
      <c r="K19" s="14">
        <f t="shared" si="29"/>
        <v>2.9349999999999998E-2</v>
      </c>
      <c r="L19" s="15" t="str">
        <f t="shared" si="30"/>
        <v>Unresolved</v>
      </c>
      <c r="AB19" s="15">
        <v>60000</v>
      </c>
      <c r="AC19" s="24"/>
      <c r="AD19" s="24"/>
      <c r="AG19" s="15">
        <v>60000</v>
      </c>
      <c r="AH19" s="24"/>
      <c r="AI19" s="24"/>
      <c r="AJ19" s="19">
        <f t="shared" si="5"/>
        <v>0.26891999999999999</v>
      </c>
      <c r="AK19" s="19">
        <f t="shared" si="6"/>
        <v>0.20172000000000001</v>
      </c>
    </row>
    <row r="20" spans="2:37" x14ac:dyDescent="0.15">
      <c r="B20" s="15">
        <v>65000</v>
      </c>
      <c r="C20" s="29"/>
      <c r="D20" s="29"/>
      <c r="E20" s="29"/>
      <c r="F20" s="27"/>
      <c r="G20" s="27"/>
      <c r="H20" s="14">
        <f t="shared" si="28"/>
        <v>0.23135</v>
      </c>
      <c r="I20" s="14">
        <f t="shared" si="28"/>
        <v>3.2399999999999998E-2</v>
      </c>
      <c r="K20" s="14">
        <f t="shared" si="29"/>
        <v>3.3139999999999996E-2</v>
      </c>
      <c r="L20" s="15" t="str">
        <f t="shared" si="30"/>
        <v>Unresolved</v>
      </c>
      <c r="AB20" s="15">
        <v>65000</v>
      </c>
      <c r="AC20" s="24"/>
      <c r="AD20" s="24"/>
      <c r="AG20" s="15">
        <v>65000</v>
      </c>
      <c r="AH20" s="24"/>
      <c r="AI20" s="24"/>
      <c r="AJ20" s="19">
        <f t="shared" si="5"/>
        <v>0.26374999999999998</v>
      </c>
      <c r="AK20" s="19">
        <f t="shared" si="6"/>
        <v>0.19895000000000002</v>
      </c>
    </row>
    <row r="21" spans="2:37" x14ac:dyDescent="0.15">
      <c r="B21" s="15">
        <v>70000</v>
      </c>
      <c r="C21" s="29"/>
      <c r="D21" s="29"/>
      <c r="E21" s="29"/>
      <c r="F21" s="27"/>
      <c r="G21" s="27"/>
      <c r="H21" s="14">
        <f t="shared" si="28"/>
        <v>0.32822000000000001</v>
      </c>
      <c r="I21" s="14">
        <f t="shared" si="28"/>
        <v>3.4700000000000002E-2</v>
      </c>
      <c r="K21" s="14">
        <f t="shared" si="29"/>
        <v>3.5970000000000002E-2</v>
      </c>
      <c r="L21" s="15" t="str">
        <f t="shared" si="30"/>
        <v>? (Unresolved)</v>
      </c>
      <c r="AB21" s="15">
        <v>70000</v>
      </c>
      <c r="AC21" s="24"/>
      <c r="AD21" s="24"/>
      <c r="AG21" s="15">
        <v>70000</v>
      </c>
      <c r="AH21" s="24"/>
      <c r="AI21" s="24"/>
      <c r="AJ21" s="19">
        <f t="shared" si="5"/>
        <v>0.36292000000000002</v>
      </c>
      <c r="AK21" s="19">
        <f t="shared" si="6"/>
        <v>0.29352</v>
      </c>
    </row>
    <row r="22" spans="2:37" x14ac:dyDescent="0.15">
      <c r="B22" s="15">
        <v>75000</v>
      </c>
      <c r="C22" s="29"/>
      <c r="D22" s="29"/>
      <c r="E22" s="29"/>
      <c r="F22" s="27"/>
      <c r="G22" s="27"/>
      <c r="H22" s="14">
        <f t="shared" si="28"/>
        <v>0.3165</v>
      </c>
      <c r="I22" s="14">
        <f t="shared" si="28"/>
        <v>3.6399999999999995E-2</v>
      </c>
      <c r="K22" s="14">
        <f t="shared" si="29"/>
        <v>3.9379999999999998E-2</v>
      </c>
      <c r="L22" s="15" t="str">
        <f t="shared" si="30"/>
        <v>? (Unresolved)</v>
      </c>
      <c r="AB22" s="15">
        <v>75000</v>
      </c>
      <c r="AC22" s="24"/>
      <c r="AD22" s="24"/>
      <c r="AG22" s="15">
        <v>75000</v>
      </c>
      <c r="AH22" s="24"/>
      <c r="AI22" s="24"/>
      <c r="AJ22" s="19">
        <f t="shared" si="5"/>
        <v>0.35289999999999999</v>
      </c>
      <c r="AK22" s="19">
        <f t="shared" si="6"/>
        <v>0.28010000000000002</v>
      </c>
    </row>
    <row r="23" spans="2:37" x14ac:dyDescent="0.15">
      <c r="B23" s="15">
        <v>80000</v>
      </c>
      <c r="C23" s="29"/>
      <c r="D23" s="29"/>
      <c r="E23" s="29"/>
      <c r="F23" s="27"/>
      <c r="G23" s="27"/>
      <c r="H23" s="14">
        <f t="shared" si="28"/>
        <v>0.28129999999999999</v>
      </c>
      <c r="I23" s="14">
        <f t="shared" si="28"/>
        <v>4.3000000000000003E-2</v>
      </c>
      <c r="K23" s="14">
        <f t="shared" si="29"/>
        <v>4.7059999999999998E-2</v>
      </c>
      <c r="L23" s="15" t="str">
        <f t="shared" si="30"/>
        <v>Unresolved</v>
      </c>
      <c r="AB23" s="15">
        <v>80000</v>
      </c>
      <c r="AC23" s="24"/>
      <c r="AD23" s="24"/>
      <c r="AG23" s="15">
        <v>80000</v>
      </c>
      <c r="AH23" s="24"/>
      <c r="AI23" s="24"/>
      <c r="AJ23" s="19">
        <f t="shared" si="5"/>
        <v>0.32429999999999998</v>
      </c>
      <c r="AK23" s="19">
        <f t="shared" si="6"/>
        <v>0.23829999999999998</v>
      </c>
    </row>
    <row r="24" spans="2:37" x14ac:dyDescent="0.15">
      <c r="B24" s="15">
        <v>85000</v>
      </c>
      <c r="C24" s="29"/>
      <c r="D24" s="29"/>
      <c r="E24" s="29"/>
      <c r="F24" s="27"/>
      <c r="G24" s="27"/>
      <c r="H24" s="14">
        <f t="shared" si="28"/>
        <v>0.16335000000000002</v>
      </c>
      <c r="I24" s="14">
        <f t="shared" si="28"/>
        <v>0</v>
      </c>
      <c r="K24" s="14">
        <f t="shared" si="29"/>
        <v>5.4450000000000005E-2</v>
      </c>
      <c r="L24" s="15" t="str">
        <f t="shared" si="30"/>
        <v>Non-detection</v>
      </c>
      <c r="AB24" s="15">
        <v>85000</v>
      </c>
      <c r="AC24" s="24"/>
      <c r="AD24" s="24"/>
      <c r="AG24" s="15">
        <v>85000</v>
      </c>
      <c r="AH24" s="24"/>
      <c r="AI24" s="24"/>
      <c r="AJ24" s="19">
        <f t="shared" si="5"/>
        <v>0.16335000000000002</v>
      </c>
      <c r="AK24" s="19">
        <f t="shared" si="6"/>
        <v>0.16335000000000002</v>
      </c>
    </row>
    <row r="25" spans="2:37" x14ac:dyDescent="0.15">
      <c r="C25" s="15"/>
      <c r="D25" s="15"/>
      <c r="E25" s="15"/>
      <c r="L25" s="15"/>
      <c r="AB25" s="15"/>
      <c r="AG25" s="15"/>
    </row>
    <row r="26" spans="2:37" x14ac:dyDescent="0.15">
      <c r="C26" s="15"/>
      <c r="D26" s="15"/>
      <c r="E26" s="15"/>
      <c r="L26" s="15"/>
      <c r="AB26" s="15"/>
      <c r="AG26" s="15"/>
    </row>
    <row r="27" spans="2:37" x14ac:dyDescent="0.15">
      <c r="B27" s="15"/>
      <c r="C27" s="15"/>
      <c r="D27" s="15"/>
      <c r="E27" s="15"/>
      <c r="AB27" s="15"/>
      <c r="AG27" s="15"/>
    </row>
    <row r="28" spans="2:37" x14ac:dyDescent="0.15">
      <c r="B28" s="15" t="s">
        <v>7</v>
      </c>
      <c r="C28" s="15" t="s">
        <v>35</v>
      </c>
      <c r="D28" s="15" t="s">
        <v>44</v>
      </c>
      <c r="E28" s="15" t="s">
        <v>43</v>
      </c>
      <c r="F28" s="15" t="s">
        <v>34</v>
      </c>
      <c r="G28" s="15" t="s">
        <v>10</v>
      </c>
      <c r="H28" s="14" t="s">
        <v>35</v>
      </c>
      <c r="I28" s="15" t="s">
        <v>44</v>
      </c>
      <c r="J28" s="15" t="s">
        <v>43</v>
      </c>
      <c r="K28" s="15" t="s">
        <v>34</v>
      </c>
      <c r="L28" s="15" t="s">
        <v>10</v>
      </c>
    </row>
    <row r="29" spans="2:37" x14ac:dyDescent="0.15">
      <c r="B29" s="15">
        <f>LOG(B4)</f>
        <v>3.0413926851582249</v>
      </c>
      <c r="C29" s="15">
        <f>LOG(C4)</f>
        <v>0.26095339810410351</v>
      </c>
      <c r="D29" s="15">
        <f>AH29-C29</f>
        <v>1.4565262407707114E-2</v>
      </c>
      <c r="E29" s="15">
        <f>C29-AI29</f>
        <v>1.5070750586842235E-2</v>
      </c>
      <c r="F29" s="15">
        <f>LOG(F4)</f>
        <v>-1.539102157243452</v>
      </c>
      <c r="G29" s="15" t="str">
        <f>G4</f>
        <v>Resolved</v>
      </c>
      <c r="H29" s="27"/>
      <c r="I29" s="27"/>
      <c r="J29" s="27"/>
      <c r="K29" s="27"/>
      <c r="L29" s="27"/>
      <c r="AG29" s="14">
        <f>LOG(AG4)</f>
        <v>3.0413926851582249</v>
      </c>
      <c r="AH29" s="14">
        <f>LOG(AH4)</f>
        <v>0.27551866051181062</v>
      </c>
      <c r="AI29" s="14">
        <f>LOG(AI4)</f>
        <v>0.24588264751726127</v>
      </c>
      <c r="AJ29" s="24"/>
      <c r="AK29" s="24"/>
    </row>
    <row r="30" spans="2:37" x14ac:dyDescent="0.15">
      <c r="B30" s="15">
        <f t="shared" ref="B30:C49" si="31">LOG(B5)</f>
        <v>3.5587085705331658</v>
      </c>
      <c r="C30" s="27"/>
      <c r="D30" s="27"/>
      <c r="E30" s="27"/>
      <c r="F30" s="27"/>
      <c r="G30" s="27"/>
      <c r="H30" s="15">
        <f>LOG(H5)</f>
        <v>0.10537391414384713</v>
      </c>
      <c r="I30" s="15">
        <f>AJ30-H30</f>
        <v>1.8543029354284771E-2</v>
      </c>
      <c r="J30" s="15">
        <f>H30-AK30</f>
        <v>1.9370208525465171E-2</v>
      </c>
      <c r="K30" s="15">
        <f>LOG(K5)</f>
        <v>-1.667965722972482</v>
      </c>
      <c r="L30" s="15" t="str">
        <f>L5</f>
        <v>Resolved</v>
      </c>
      <c r="AG30" s="14">
        <f t="shared" ref="AG30:AJ49" si="32">LOG(AG5)</f>
        <v>3.5587085705331658</v>
      </c>
      <c r="AH30" s="23"/>
      <c r="AI30" s="23"/>
      <c r="AJ30" s="14">
        <f>LOG(AJ5)</f>
        <v>0.1239169434981319</v>
      </c>
      <c r="AK30" s="14">
        <f>LOG(AK5)</f>
        <v>8.6003705618381956E-2</v>
      </c>
    </row>
    <row r="31" spans="2:37" x14ac:dyDescent="0.15">
      <c r="B31" s="15">
        <f t="shared" si="31"/>
        <v>3.6020599913279625</v>
      </c>
      <c r="C31" s="15">
        <f>LOG(C6)</f>
        <v>0.27563378775101394</v>
      </c>
      <c r="D31" s="15">
        <f t="shared" ref="D31:D40" si="33">AH31-C31</f>
        <v>1.4133483201767438E-2</v>
      </c>
      <c r="E31" s="15">
        <f t="shared" ref="E31:E40" si="34">C31-AI31</f>
        <v>1.4608953758616539E-2</v>
      </c>
      <c r="F31" s="15">
        <f>LOG(F6)</f>
        <v>-1.5108856306210805</v>
      </c>
      <c r="G31" s="15" t="str">
        <f>G6</f>
        <v>Resolved</v>
      </c>
      <c r="H31" s="15">
        <f t="shared" ref="H31:H38" si="35">LOG(H6)</f>
        <v>8.4433276786544623E-2</v>
      </c>
      <c r="I31" s="15">
        <f t="shared" ref="I31:I39" si="36">AJ31-H31</f>
        <v>1.9883087725183018E-2</v>
      </c>
      <c r="J31" s="15">
        <f t="shared" ref="J31:J39" si="37">H31-AK31</f>
        <v>2.0837243495485561E-2</v>
      </c>
      <c r="K31" s="15">
        <f t="shared" ref="K31:K48" si="38">LOG(K6)</f>
        <v>-1.634137784597445</v>
      </c>
      <c r="L31" s="15" t="str">
        <f t="shared" ref="L31:L49" si="39">L6</f>
        <v>Resolved</v>
      </c>
      <c r="AG31" s="14">
        <f t="shared" si="32"/>
        <v>3.6020599913279625</v>
      </c>
      <c r="AH31" s="14">
        <f t="shared" si="32"/>
        <v>0.28976727095278138</v>
      </c>
      <c r="AI31" s="14">
        <f t="shared" si="32"/>
        <v>0.2610248339923974</v>
      </c>
      <c r="AJ31" s="14">
        <f t="shared" si="32"/>
        <v>0.10431636451172764</v>
      </c>
      <c r="AK31" s="14">
        <f t="shared" ref="AK31" si="40">LOG(AK6)</f>
        <v>6.3596033291059062E-2</v>
      </c>
    </row>
    <row r="32" spans="2:37" x14ac:dyDescent="0.15">
      <c r="B32" s="15">
        <f t="shared" si="31"/>
        <v>3.8750612633917001</v>
      </c>
      <c r="C32" s="15">
        <f t="shared" si="31"/>
        <v>0.13861843389949255</v>
      </c>
      <c r="D32" s="15">
        <f t="shared" si="33"/>
        <v>1.0292559209863883E-2</v>
      </c>
      <c r="E32" s="15">
        <f t="shared" si="34"/>
        <v>1.0542421230777144E-2</v>
      </c>
      <c r="F32" s="15">
        <f t="shared" ref="F32:F40" si="41">LOG(F7)</f>
        <v>-1.4979827851728527</v>
      </c>
      <c r="G32" s="15" t="str">
        <f t="shared" ref="G32:G40" si="42">G7</f>
        <v>? (Unresolved)</v>
      </c>
      <c r="H32" s="15">
        <f t="shared" si="35"/>
        <v>8.7461966171819214E-2</v>
      </c>
      <c r="I32" s="15">
        <f t="shared" si="36"/>
        <v>1.9917616632629281E-2</v>
      </c>
      <c r="J32" s="15">
        <f t="shared" si="37"/>
        <v>2.0875169701124671E-2</v>
      </c>
      <c r="K32" s="15">
        <f t="shared" si="38"/>
        <v>-1.6324577264794233</v>
      </c>
      <c r="L32" s="15" t="str">
        <f t="shared" si="39"/>
        <v>Resolved</v>
      </c>
      <c r="AG32" s="14">
        <f t="shared" si="32"/>
        <v>3.8750612633917001</v>
      </c>
      <c r="AH32" s="14">
        <f t="shared" si="32"/>
        <v>0.14891099310935643</v>
      </c>
      <c r="AI32" s="14">
        <f t="shared" si="32"/>
        <v>0.12807601266871541</v>
      </c>
      <c r="AJ32" s="14">
        <f t="shared" si="32"/>
        <v>0.1073795828044485</v>
      </c>
      <c r="AK32" s="14">
        <f t="shared" ref="AK32" si="43">LOG(AK7)</f>
        <v>6.6586796470694543E-2</v>
      </c>
    </row>
    <row r="33" spans="2:37" x14ac:dyDescent="0.15">
      <c r="B33" s="15">
        <f t="shared" si="31"/>
        <v>4</v>
      </c>
      <c r="C33" s="15">
        <f t="shared" si="31"/>
        <v>0.11025291735340299</v>
      </c>
      <c r="D33" s="15">
        <f t="shared" si="33"/>
        <v>1.261800551103251E-2</v>
      </c>
      <c r="E33" s="15">
        <f t="shared" si="34"/>
        <v>1.2995607659983074E-2</v>
      </c>
      <c r="F33" s="15">
        <f t="shared" si="41"/>
        <v>-1.4136377766921342</v>
      </c>
      <c r="G33" s="15" t="str">
        <f t="shared" si="42"/>
        <v>? (Unresolved)</v>
      </c>
      <c r="H33" s="15">
        <f t="shared" si="35"/>
        <v>0.10160961723311129</v>
      </c>
      <c r="I33" s="15">
        <f t="shared" si="36"/>
        <v>1.9884569008553871E-2</v>
      </c>
      <c r="J33" s="15">
        <f t="shared" si="37"/>
        <v>2.0838870392389616E-2</v>
      </c>
      <c r="K33" s="15">
        <f t="shared" si="38"/>
        <v>-1.6326440789739809</v>
      </c>
      <c r="L33" s="15" t="str">
        <f t="shared" si="39"/>
        <v>Resolved</v>
      </c>
      <c r="AG33" s="14">
        <f>LOG(AG8)</f>
        <v>4</v>
      </c>
      <c r="AH33" s="14">
        <f t="shared" ref="AH33:AJ33" si="44">LOG(AH8)</f>
        <v>0.1228709228644355</v>
      </c>
      <c r="AI33" s="14">
        <f t="shared" si="44"/>
        <v>9.7257309693419919E-2</v>
      </c>
      <c r="AJ33" s="14">
        <f t="shared" si="44"/>
        <v>0.12149418624166516</v>
      </c>
      <c r="AK33" s="14">
        <f t="shared" ref="AK33" si="45">LOG(AK8)</f>
        <v>8.0770746840721677E-2</v>
      </c>
    </row>
    <row r="34" spans="2:37" x14ac:dyDescent="0.15">
      <c r="B34" s="15">
        <f t="shared" si="31"/>
        <v>4.1760912590556813</v>
      </c>
      <c r="C34" s="15">
        <f t="shared" si="31"/>
        <v>5.869168281922995E-2</v>
      </c>
      <c r="D34" s="15">
        <f t="shared" si="33"/>
        <v>1.7475256525702636E-2</v>
      </c>
      <c r="E34" s="15">
        <f t="shared" si="34"/>
        <v>1.8208018612959974E-2</v>
      </c>
      <c r="F34" s="15">
        <f t="shared" si="41"/>
        <v>-1.3463052046849182</v>
      </c>
      <c r="G34" s="15" t="str">
        <f t="shared" si="42"/>
        <v>Unresolved</v>
      </c>
      <c r="H34" s="15">
        <f t="shared" si="35"/>
        <v>7.3278335635834801E-2</v>
      </c>
      <c r="I34" s="15">
        <f t="shared" si="36"/>
        <v>2.0388446592068052E-2</v>
      </c>
      <c r="J34" s="15">
        <f t="shared" si="37"/>
        <v>2.1392956745963067E-2</v>
      </c>
      <c r="K34" s="15">
        <f t="shared" si="38"/>
        <v>-1.6267201067225039</v>
      </c>
      <c r="L34" s="15" t="str">
        <f t="shared" si="39"/>
        <v>Resolved</v>
      </c>
      <c r="AD34" s="14" t="s">
        <v>89</v>
      </c>
      <c r="AG34" s="14">
        <f t="shared" si="32"/>
        <v>4.1760912590556813</v>
      </c>
      <c r="AH34" s="14">
        <f t="shared" si="32"/>
        <v>7.6166939344932585E-2</v>
      </c>
      <c r="AI34" s="14">
        <f t="shared" si="32"/>
        <v>4.0483664206269976E-2</v>
      </c>
      <c r="AJ34" s="14">
        <f t="shared" si="32"/>
        <v>9.3666782227902853E-2</v>
      </c>
      <c r="AK34" s="14">
        <f t="shared" ref="AK34" si="46">LOG(AK9)</f>
        <v>5.1885378889871735E-2</v>
      </c>
    </row>
    <row r="35" spans="2:37" x14ac:dyDescent="0.15">
      <c r="B35" s="15">
        <f t="shared" si="31"/>
        <v>4.3010299956639813</v>
      </c>
      <c r="C35" s="15">
        <f t="shared" si="31"/>
        <v>4.060234011407314E-2</v>
      </c>
      <c r="D35" s="15">
        <f t="shared" si="33"/>
        <v>2.3630955920679694E-2</v>
      </c>
      <c r="E35" s="15">
        <f t="shared" si="34"/>
        <v>2.499113561056068E-2</v>
      </c>
      <c r="F35" s="15">
        <f t="shared" si="41"/>
        <v>-1.2493373538659442</v>
      </c>
      <c r="G35" s="15" t="str">
        <f t="shared" si="42"/>
        <v>Unresolved</v>
      </c>
      <c r="H35" s="15">
        <f t="shared" si="35"/>
        <v>9.9773035779373003E-4</v>
      </c>
      <c r="I35" s="15">
        <f t="shared" si="36"/>
        <v>2.2995074248677042E-2</v>
      </c>
      <c r="J35" s="15">
        <f t="shared" si="37"/>
        <v>2.4281025994411402E-2</v>
      </c>
      <c r="K35" s="15">
        <f t="shared" si="38"/>
        <v>-1.6470460882899123</v>
      </c>
      <c r="L35" s="15" t="str">
        <f t="shared" si="39"/>
        <v>Resolved</v>
      </c>
      <c r="AG35" s="14">
        <f t="shared" si="32"/>
        <v>4.3010299956639813</v>
      </c>
      <c r="AH35" s="14">
        <f t="shared" si="32"/>
        <v>6.4233296034752835E-2</v>
      </c>
      <c r="AI35" s="14">
        <f t="shared" si="32"/>
        <v>1.5611204503512461E-2</v>
      </c>
      <c r="AJ35" s="14">
        <f t="shared" si="32"/>
        <v>2.3992804606470772E-2</v>
      </c>
      <c r="AK35" s="14">
        <f t="shared" ref="AK35" si="47">LOG(AK10)</f>
        <v>-2.3283295636617671E-2</v>
      </c>
    </row>
    <row r="36" spans="2:37" x14ac:dyDescent="0.15">
      <c r="B36" s="15">
        <f t="shared" si="31"/>
        <v>4.3979400086720375</v>
      </c>
      <c r="C36" s="15">
        <f t="shared" si="31"/>
        <v>-9.9943208957152339E-3</v>
      </c>
      <c r="D36" s="15">
        <f t="shared" si="33"/>
        <v>3.7201179326650367E-2</v>
      </c>
      <c r="E36" s="15">
        <f t="shared" si="34"/>
        <v>4.0688874327439187E-2</v>
      </c>
      <c r="F36" s="15">
        <f t="shared" si="41"/>
        <v>-1.0777937225609837</v>
      </c>
      <c r="G36" s="15" t="str">
        <f t="shared" si="42"/>
        <v>Unresolved</v>
      </c>
      <c r="H36" s="15">
        <f t="shared" si="35"/>
        <v>-0.19619476889845852</v>
      </c>
      <c r="I36" s="15">
        <f t="shared" si="36"/>
        <v>3.0049185403634188E-2</v>
      </c>
      <c r="J36" s="15">
        <f t="shared" si="37"/>
        <v>3.2283891472068171E-2</v>
      </c>
      <c r="K36" s="15">
        <f t="shared" si="38"/>
        <v>-1.6426369693848573</v>
      </c>
      <c r="L36" s="15" t="str">
        <f t="shared" si="39"/>
        <v>Resolved</v>
      </c>
      <c r="AG36" s="14">
        <f t="shared" si="32"/>
        <v>4.3979400086720375</v>
      </c>
      <c r="AH36" s="14">
        <f t="shared" si="32"/>
        <v>2.7206858430935135E-2</v>
      </c>
      <c r="AI36" s="14">
        <f t="shared" si="32"/>
        <v>-5.0683195223154419E-2</v>
      </c>
      <c r="AJ36" s="14">
        <f t="shared" si="32"/>
        <v>-0.16614558349482433</v>
      </c>
      <c r="AK36" s="14">
        <f t="shared" ref="AK36" si="48">LOG(AK11)</f>
        <v>-0.22847866037052669</v>
      </c>
    </row>
    <row r="37" spans="2:37" x14ac:dyDescent="0.15">
      <c r="B37" s="15">
        <f t="shared" si="31"/>
        <v>4.4771212547196626</v>
      </c>
      <c r="C37" s="15">
        <f t="shared" si="31"/>
        <v>-0.49757288001556732</v>
      </c>
      <c r="D37" s="15">
        <f t="shared" si="33"/>
        <v>0</v>
      </c>
      <c r="E37" s="15">
        <f t="shared" si="34"/>
        <v>0</v>
      </c>
      <c r="F37" s="15">
        <f t="shared" si="41"/>
        <v>-0.97469413473522981</v>
      </c>
      <c r="G37" s="15" t="str">
        <f t="shared" si="42"/>
        <v>Non-detection</v>
      </c>
      <c r="H37" s="15">
        <f t="shared" si="35"/>
        <v>-0.37182571555167532</v>
      </c>
      <c r="I37" s="15">
        <f t="shared" si="36"/>
        <v>2.3965646207966318E-2</v>
      </c>
      <c r="J37" s="15">
        <f t="shared" si="37"/>
        <v>2.5365780545727024E-2</v>
      </c>
      <c r="K37" s="15">
        <f t="shared" si="38"/>
        <v>-1.6118987984294835</v>
      </c>
      <c r="L37" s="15" t="str">
        <f t="shared" si="39"/>
        <v>? (Unresolved)</v>
      </c>
      <c r="AG37" s="14">
        <f t="shared" si="32"/>
        <v>4.4771212547196626</v>
      </c>
      <c r="AH37" s="14">
        <f t="shared" si="32"/>
        <v>-0.49757288001556732</v>
      </c>
      <c r="AI37" s="14">
        <f t="shared" si="32"/>
        <v>-0.49757288001556732</v>
      </c>
      <c r="AJ37" s="14">
        <f t="shared" si="32"/>
        <v>-0.347860069343709</v>
      </c>
      <c r="AK37" s="14">
        <f t="shared" ref="AK37" si="49">LOG(AK12)</f>
        <v>-0.39719149609740234</v>
      </c>
    </row>
    <row r="38" spans="2:37" x14ac:dyDescent="0.15">
      <c r="B38" s="15">
        <f t="shared" si="31"/>
        <v>4.5440680443502757</v>
      </c>
      <c r="C38" s="30">
        <f t="shared" si="31"/>
        <v>-0.29550630299070124</v>
      </c>
      <c r="D38" s="30">
        <f t="shared" si="33"/>
        <v>0</v>
      </c>
      <c r="E38" s="30">
        <f t="shared" si="34"/>
        <v>0</v>
      </c>
      <c r="F38" s="30">
        <f t="shared" si="41"/>
        <v>-0.77262755771036373</v>
      </c>
      <c r="G38" s="30" t="str">
        <f t="shared" si="42"/>
        <v>Non-detection</v>
      </c>
      <c r="H38" s="15">
        <f t="shared" si="35"/>
        <v>-0.34216044614204022</v>
      </c>
      <c r="I38" s="15">
        <f t="shared" si="36"/>
        <v>2.2967171743609738E-2</v>
      </c>
      <c r="J38" s="15">
        <f t="shared" si="37"/>
        <v>2.4249916726574616E-2</v>
      </c>
      <c r="K38" s="15">
        <f t="shared" si="38"/>
        <v>-1.590912630552165</v>
      </c>
      <c r="L38" s="15" t="str">
        <f t="shared" si="39"/>
        <v>? (Unresolved)</v>
      </c>
      <c r="M38" s="15"/>
      <c r="AG38" s="14">
        <f t="shared" si="32"/>
        <v>4.5440680443502757</v>
      </c>
      <c r="AH38" s="14">
        <f t="shared" si="32"/>
        <v>-0.29550630299070124</v>
      </c>
      <c r="AI38" s="14">
        <f t="shared" si="32"/>
        <v>-0.29550630299070124</v>
      </c>
      <c r="AJ38" s="14">
        <f t="shared" si="32"/>
        <v>-0.31919327439843048</v>
      </c>
      <c r="AK38" s="14">
        <f t="shared" ref="AK38" si="50">LOG(AK13)</f>
        <v>-0.36641036286861484</v>
      </c>
    </row>
    <row r="39" spans="2:37" x14ac:dyDescent="0.15">
      <c r="B39" s="15">
        <f t="shared" si="31"/>
        <v>4.6020599913279625</v>
      </c>
      <c r="C39" s="30">
        <f t="shared" si="31"/>
        <v>-0.24207281688667079</v>
      </c>
      <c r="D39" s="30">
        <f t="shared" si="33"/>
        <v>0</v>
      </c>
      <c r="E39" s="30">
        <f t="shared" si="34"/>
        <v>0</v>
      </c>
      <c r="F39" s="30">
        <f t="shared" si="41"/>
        <v>-0.7191940716063332</v>
      </c>
      <c r="G39" s="30" t="str">
        <f t="shared" si="42"/>
        <v>Non-detection</v>
      </c>
      <c r="H39" s="15">
        <f>LOG(H14)</f>
        <v>-0.34842157365622056</v>
      </c>
      <c r="I39" s="15">
        <f t="shared" si="36"/>
        <v>2.3842437343569833E-2</v>
      </c>
      <c r="J39" s="15">
        <f t="shared" si="37"/>
        <v>2.522779208106618E-2</v>
      </c>
      <c r="K39" s="15">
        <f t="shared" si="38"/>
        <v>-1.571379327328061</v>
      </c>
      <c r="L39" s="15" t="str">
        <f t="shared" si="39"/>
        <v>Unresolved</v>
      </c>
      <c r="AG39" s="14">
        <f>LOG(AG14)</f>
        <v>4.6020599913279625</v>
      </c>
      <c r="AH39" s="14">
        <f t="shared" si="32"/>
        <v>-0.24207281688667079</v>
      </c>
      <c r="AI39" s="14">
        <f t="shared" si="32"/>
        <v>-0.24207281688667079</v>
      </c>
      <c r="AJ39" s="14">
        <f t="shared" si="32"/>
        <v>-0.32457913631265073</v>
      </c>
      <c r="AK39" s="14">
        <f t="shared" ref="AK39" si="51">LOG(AK14)</f>
        <v>-0.37364936573728674</v>
      </c>
    </row>
    <row r="40" spans="2:37" x14ac:dyDescent="0.15">
      <c r="B40" s="15">
        <f t="shared" si="31"/>
        <v>4.6334684555795862</v>
      </c>
      <c r="C40" s="30">
        <f>LOG(C15)</f>
        <v>-0.33423144928062015</v>
      </c>
      <c r="D40" s="30">
        <f t="shared" si="33"/>
        <v>0</v>
      </c>
      <c r="E40" s="30">
        <f t="shared" si="34"/>
        <v>0</v>
      </c>
      <c r="F40" s="30">
        <f t="shared" si="41"/>
        <v>-0.81135270400028259</v>
      </c>
      <c r="G40" s="30" t="str">
        <f t="shared" si="42"/>
        <v>Non-detection</v>
      </c>
      <c r="H40" s="29"/>
      <c r="I40" s="29"/>
      <c r="J40" s="29"/>
      <c r="K40" s="29"/>
      <c r="L40" s="29"/>
      <c r="AG40" s="14">
        <f>LOG(AG15)</f>
        <v>4.6334684555795862</v>
      </c>
      <c r="AH40" s="14">
        <f t="shared" si="32"/>
        <v>-0.33423144928062015</v>
      </c>
      <c r="AI40" s="14">
        <f t="shared" si="32"/>
        <v>-0.33423144928062015</v>
      </c>
      <c r="AJ40" s="23"/>
      <c r="AK40" s="23"/>
    </row>
    <row r="41" spans="2:37" x14ac:dyDescent="0.15">
      <c r="B41" s="15">
        <f t="shared" si="31"/>
        <v>4.653212513775344</v>
      </c>
      <c r="C41" s="27"/>
      <c r="D41" s="27"/>
      <c r="E41" s="27"/>
      <c r="F41" s="27"/>
      <c r="G41" s="27"/>
      <c r="H41" s="15">
        <f>LOG(H16)</f>
        <v>-0.3604238720392835</v>
      </c>
      <c r="I41" s="15">
        <f t="shared" ref="I41:I49" si="52">AJ41-H41</f>
        <v>2.53383711624382E-2</v>
      </c>
      <c r="J41" s="15">
        <f t="shared" ref="J41:J49" si="53">H41-AK41</f>
        <v>2.6908804905975081E-2</v>
      </c>
      <c r="K41" s="15">
        <f t="shared" si="38"/>
        <v>-1.5723516288130674</v>
      </c>
      <c r="L41" s="15" t="str">
        <f t="shared" si="39"/>
        <v>Unresolved</v>
      </c>
      <c r="AG41" s="14">
        <f t="shared" si="32"/>
        <v>4.653212513775344</v>
      </c>
      <c r="AH41" s="24"/>
      <c r="AI41" s="24"/>
      <c r="AJ41" s="14">
        <f t="shared" ref="AJ41:AK49" si="54">LOG(AJ16)</f>
        <v>-0.3350855008768453</v>
      </c>
      <c r="AK41" s="14">
        <f t="shared" si="54"/>
        <v>-0.38733267694525858</v>
      </c>
    </row>
    <row r="42" spans="2:37" x14ac:dyDescent="0.15">
      <c r="B42" s="15">
        <f t="shared" si="31"/>
        <v>4.6989700043360187</v>
      </c>
      <c r="C42" s="27"/>
      <c r="D42" s="27"/>
      <c r="E42" s="27"/>
      <c r="F42" s="27"/>
      <c r="G42" s="27"/>
      <c r="H42" s="15">
        <f t="shared" ref="H42:H49" si="55">LOG(H17)</f>
        <v>-0.46618982498943035</v>
      </c>
      <c r="I42" s="15">
        <f t="shared" si="52"/>
        <v>3.4309377462291013E-2</v>
      </c>
      <c r="J42" s="15">
        <f t="shared" si="53"/>
        <v>3.7254125514274927E-2</v>
      </c>
      <c r="K42" s="15">
        <f t="shared" si="38"/>
        <v>-1.545612532853045</v>
      </c>
      <c r="L42" s="15" t="str">
        <f t="shared" si="39"/>
        <v>? (Unresolved)</v>
      </c>
      <c r="AG42" s="14">
        <f t="shared" si="32"/>
        <v>4.6989700043360187</v>
      </c>
      <c r="AH42" s="24"/>
      <c r="AI42" s="24"/>
      <c r="AJ42" s="14">
        <f t="shared" si="54"/>
        <v>-0.43188044752713933</v>
      </c>
      <c r="AK42" s="14">
        <f t="shared" si="54"/>
        <v>-0.50344395050370527</v>
      </c>
    </row>
    <row r="43" spans="2:37" x14ac:dyDescent="0.15">
      <c r="B43" s="15">
        <f t="shared" si="31"/>
        <v>4.7403626894942441</v>
      </c>
      <c r="C43" s="27"/>
      <c r="D43" s="27"/>
      <c r="E43" s="27"/>
      <c r="F43" s="27"/>
      <c r="G43" s="27"/>
      <c r="H43" s="15">
        <f t="shared" si="55"/>
        <v>-0.50998530486323612</v>
      </c>
      <c r="I43" s="15">
        <f t="shared" si="52"/>
        <v>3.8824904602432875E-2</v>
      </c>
      <c r="J43" s="15">
        <f t="shared" si="53"/>
        <v>4.2639570822314399E-2</v>
      </c>
      <c r="K43" s="15">
        <f t="shared" si="38"/>
        <v>-1.5394028111023985</v>
      </c>
      <c r="L43" s="15" t="str">
        <f t="shared" si="39"/>
        <v>? (Unresolved)</v>
      </c>
      <c r="AG43" s="14">
        <f t="shared" si="32"/>
        <v>4.7403626894942441</v>
      </c>
      <c r="AH43" s="24"/>
      <c r="AI43" s="24"/>
      <c r="AJ43" s="14">
        <f t="shared" si="54"/>
        <v>-0.47116040026080325</v>
      </c>
      <c r="AK43" s="14">
        <f t="shared" si="54"/>
        <v>-0.55262487568555052</v>
      </c>
    </row>
    <row r="44" spans="2:37" x14ac:dyDescent="0.15">
      <c r="B44" s="15">
        <f t="shared" si="31"/>
        <v>4.7781512503836439</v>
      </c>
      <c r="C44" s="27"/>
      <c r="D44" s="27"/>
      <c r="E44" s="27"/>
      <c r="F44" s="27"/>
      <c r="G44" s="27"/>
      <c r="H44" s="15">
        <f t="shared" si="55"/>
        <v>-0.62834116028459108</v>
      </c>
      <c r="I44" s="15">
        <f t="shared" si="52"/>
        <v>5.7964262867277072E-2</v>
      </c>
      <c r="J44" s="15">
        <f t="shared" si="53"/>
        <v>6.6909880228313123E-2</v>
      </c>
      <c r="K44" s="15">
        <f t="shared" si="38"/>
        <v>-1.5323918944163668</v>
      </c>
      <c r="L44" s="15" t="str">
        <f t="shared" si="39"/>
        <v>Unresolved</v>
      </c>
      <c r="AG44" s="14">
        <f t="shared" si="32"/>
        <v>4.7781512503836439</v>
      </c>
      <c r="AH44" s="24"/>
      <c r="AI44" s="24"/>
      <c r="AJ44" s="14">
        <f t="shared" si="54"/>
        <v>-0.57037689741731401</v>
      </c>
      <c r="AK44" s="14">
        <f t="shared" si="54"/>
        <v>-0.69525104051290421</v>
      </c>
    </row>
    <row r="45" spans="2:37" x14ac:dyDescent="0.15">
      <c r="B45" s="15">
        <f t="shared" si="31"/>
        <v>4.8129133566428557</v>
      </c>
      <c r="C45" s="27"/>
      <c r="D45" s="27"/>
      <c r="E45" s="27"/>
      <c r="F45" s="27"/>
      <c r="G45" s="27"/>
      <c r="H45" s="15">
        <f t="shared" si="55"/>
        <v>-0.63573049616408417</v>
      </c>
      <c r="I45" s="15">
        <f t="shared" si="52"/>
        <v>5.6922964469833248E-2</v>
      </c>
      <c r="J45" s="15">
        <f t="shared" si="53"/>
        <v>6.5525560353508649E-2</v>
      </c>
      <c r="K45" s="15">
        <f t="shared" si="38"/>
        <v>-1.4796474959166821</v>
      </c>
      <c r="L45" s="15" t="str">
        <f t="shared" si="39"/>
        <v>Unresolved</v>
      </c>
      <c r="AG45" s="14">
        <f t="shared" si="32"/>
        <v>4.8129133566428557</v>
      </c>
      <c r="AH45" s="24"/>
      <c r="AI45" s="24"/>
      <c r="AJ45" s="14">
        <f t="shared" si="54"/>
        <v>-0.57880753169425092</v>
      </c>
      <c r="AK45" s="14">
        <f t="shared" si="54"/>
        <v>-0.70125605651759282</v>
      </c>
    </row>
    <row r="46" spans="2:37" x14ac:dyDescent="0.15">
      <c r="B46" s="15">
        <f t="shared" si="31"/>
        <v>4.8450980400142569</v>
      </c>
      <c r="C46" s="27"/>
      <c r="D46" s="27"/>
      <c r="E46" s="27"/>
      <c r="F46" s="27"/>
      <c r="G46" s="27"/>
      <c r="H46" s="15">
        <f t="shared" si="55"/>
        <v>-0.48383495885575772</v>
      </c>
      <c r="I46" s="15">
        <f t="shared" si="52"/>
        <v>4.3645861060999325E-2</v>
      </c>
      <c r="J46" s="15">
        <f t="shared" si="53"/>
        <v>4.8527342396350759E-2</v>
      </c>
      <c r="K46" s="15">
        <f t="shared" si="38"/>
        <v>-1.4440595621814889</v>
      </c>
      <c r="L46" s="15" t="str">
        <f t="shared" si="39"/>
        <v>? (Unresolved)</v>
      </c>
      <c r="AG46" s="14">
        <f t="shared" si="32"/>
        <v>4.8450980400142569</v>
      </c>
      <c r="AH46" s="24"/>
      <c r="AI46" s="24"/>
      <c r="AJ46" s="14">
        <f t="shared" si="54"/>
        <v>-0.4401890977947584</v>
      </c>
      <c r="AK46" s="14">
        <f t="shared" si="54"/>
        <v>-0.53236230125210848</v>
      </c>
    </row>
    <row r="47" spans="2:37" x14ac:dyDescent="0.15">
      <c r="B47" s="15">
        <f t="shared" si="31"/>
        <v>4.8750612633917001</v>
      </c>
      <c r="C47" s="27"/>
      <c r="D47" s="27"/>
      <c r="E47" s="27"/>
      <c r="F47" s="27"/>
      <c r="G47" s="27"/>
      <c r="H47" s="15">
        <f t="shared" si="55"/>
        <v>-0.49962628564662609</v>
      </c>
      <c r="I47" s="15">
        <f t="shared" si="52"/>
        <v>4.7277944006595296E-2</v>
      </c>
      <c r="J47" s="15">
        <f t="shared" si="53"/>
        <v>5.3060605529805682E-2</v>
      </c>
      <c r="K47" s="15">
        <f t="shared" si="38"/>
        <v>-1.4047242881979005</v>
      </c>
      <c r="L47" s="15" t="str">
        <f t="shared" si="39"/>
        <v>? (Unresolved)</v>
      </c>
      <c r="AG47" s="14">
        <f t="shared" si="32"/>
        <v>4.8750612633917001</v>
      </c>
      <c r="AH47" s="24"/>
      <c r="AI47" s="24"/>
      <c r="AJ47" s="14">
        <f t="shared" si="54"/>
        <v>-0.45234834164003079</v>
      </c>
      <c r="AK47" s="14">
        <f t="shared" si="54"/>
        <v>-0.55268689117643177</v>
      </c>
    </row>
    <row r="48" spans="2:37" x14ac:dyDescent="0.15">
      <c r="B48" s="15">
        <f>LOG(B23)</f>
        <v>4.9030899869919438</v>
      </c>
      <c r="C48" s="27"/>
      <c r="D48" s="27"/>
      <c r="E48" s="27"/>
      <c r="F48" s="27"/>
      <c r="G48" s="27"/>
      <c r="H48" s="15">
        <f t="shared" si="55"/>
        <v>-0.55083026783479905</v>
      </c>
      <c r="I48" s="15">
        <f t="shared" si="52"/>
        <v>6.1777216507771793E-2</v>
      </c>
      <c r="J48" s="15">
        <f t="shared" si="53"/>
        <v>7.2045689818744818E-2</v>
      </c>
      <c r="K48" s="15">
        <f t="shared" si="38"/>
        <v>-1.3273480771599975</v>
      </c>
      <c r="L48" s="15" t="str">
        <f t="shared" si="39"/>
        <v>Unresolved</v>
      </c>
      <c r="AG48" s="14">
        <f>LOG(AG23)</f>
        <v>4.9030899869919438</v>
      </c>
      <c r="AH48" s="24"/>
      <c r="AI48" s="24"/>
      <c r="AJ48" s="14">
        <f t="shared" si="54"/>
        <v>-0.48905305132702726</v>
      </c>
      <c r="AK48" s="14">
        <f t="shared" si="54"/>
        <v>-0.62287595765354387</v>
      </c>
    </row>
    <row r="49" spans="1:37" x14ac:dyDescent="0.15">
      <c r="B49" s="15">
        <f t="shared" si="31"/>
        <v>4.9294189257142929</v>
      </c>
      <c r="C49" s="27"/>
      <c r="D49" s="27"/>
      <c r="E49" s="27"/>
      <c r="F49" s="27"/>
      <c r="G49" s="27"/>
      <c r="H49" s="15">
        <f t="shared" si="55"/>
        <v>-0.78688086118854372</v>
      </c>
      <c r="I49" s="15">
        <f t="shared" si="52"/>
        <v>0</v>
      </c>
      <c r="J49" s="15">
        <f t="shared" si="53"/>
        <v>0</v>
      </c>
      <c r="K49" s="15">
        <f>LOG(K24)</f>
        <v>-1.2640021159082062</v>
      </c>
      <c r="L49" s="15" t="str">
        <f t="shared" si="39"/>
        <v>Non-detection</v>
      </c>
      <c r="AE49" s="15"/>
      <c r="AG49" s="14">
        <f t="shared" si="32"/>
        <v>4.9294189257142929</v>
      </c>
      <c r="AH49" s="24"/>
      <c r="AI49" s="24"/>
      <c r="AJ49" s="14">
        <f t="shared" si="54"/>
        <v>-0.78688086118854372</v>
      </c>
      <c r="AK49" s="14">
        <f t="shared" si="54"/>
        <v>-0.78688086118854372</v>
      </c>
    </row>
    <row r="50" spans="1:37" x14ac:dyDescent="0.15">
      <c r="B50" s="15"/>
      <c r="G50" s="15"/>
      <c r="AD50" s="15"/>
    </row>
    <row r="51" spans="1:37" x14ac:dyDescent="0.15">
      <c r="B51" s="15"/>
      <c r="AD51" s="15"/>
    </row>
    <row r="52" spans="1:37" x14ac:dyDescent="0.15">
      <c r="B52" s="14" t="s">
        <v>38</v>
      </c>
      <c r="C52" s="15" t="s">
        <v>3</v>
      </c>
      <c r="D52" s="15"/>
      <c r="E52" s="15" t="s">
        <v>0</v>
      </c>
      <c r="F52" s="15"/>
      <c r="G52" s="15"/>
      <c r="H52" s="15"/>
      <c r="P52" s="16"/>
      <c r="Q52" s="38" t="s">
        <v>8</v>
      </c>
      <c r="R52" s="38"/>
      <c r="S52" s="38"/>
      <c r="T52" s="38"/>
      <c r="U52" s="38"/>
      <c r="V52" s="38"/>
      <c r="W52" s="38"/>
      <c r="X52" s="38"/>
      <c r="Y52" s="38"/>
      <c r="Z52" s="38" t="s">
        <v>9</v>
      </c>
      <c r="AA52" s="38"/>
      <c r="AB52" s="38"/>
      <c r="AC52" s="38"/>
    </row>
    <row r="53" spans="1:37" x14ac:dyDescent="0.15">
      <c r="C53" s="15" t="s">
        <v>35</v>
      </c>
      <c r="D53" s="15" t="s">
        <v>6</v>
      </c>
      <c r="E53" s="15" t="s">
        <v>10</v>
      </c>
      <c r="F53" s="15" t="s">
        <v>11</v>
      </c>
      <c r="G53" s="15" t="s">
        <v>6</v>
      </c>
      <c r="H53" s="15" t="s">
        <v>12</v>
      </c>
      <c r="I53" s="15" t="s">
        <v>6</v>
      </c>
      <c r="J53" s="15" t="s">
        <v>32</v>
      </c>
      <c r="K53" s="15" t="s">
        <v>33</v>
      </c>
      <c r="L53" s="15" t="s">
        <v>13</v>
      </c>
      <c r="M53" s="15" t="s">
        <v>14</v>
      </c>
      <c r="N53" s="15" t="s">
        <v>15</v>
      </c>
      <c r="O53" s="15" t="s">
        <v>14</v>
      </c>
      <c r="P53" s="1" t="s">
        <v>62</v>
      </c>
      <c r="Q53" s="1" t="s">
        <v>63</v>
      </c>
      <c r="R53" s="1" t="s">
        <v>64</v>
      </c>
      <c r="S53" s="1" t="s">
        <v>63</v>
      </c>
      <c r="T53" s="15" t="s">
        <v>31</v>
      </c>
      <c r="U53" s="15" t="s">
        <v>16</v>
      </c>
      <c r="V53" s="15" t="s">
        <v>17</v>
      </c>
      <c r="W53" s="15" t="s">
        <v>18</v>
      </c>
      <c r="X53" s="15" t="s">
        <v>19</v>
      </c>
      <c r="Y53" s="15" t="s">
        <v>20</v>
      </c>
      <c r="Z53" s="15" t="s">
        <v>21</v>
      </c>
      <c r="AA53" s="15" t="s">
        <v>22</v>
      </c>
      <c r="AB53" s="15" t="s">
        <v>23</v>
      </c>
      <c r="AC53" s="15" t="s">
        <v>24</v>
      </c>
      <c r="AD53" s="15" t="s">
        <v>25</v>
      </c>
      <c r="AE53" s="15" t="s">
        <v>26</v>
      </c>
      <c r="AF53" s="15" t="s">
        <v>27</v>
      </c>
      <c r="AG53" s="15" t="s">
        <v>28</v>
      </c>
    </row>
    <row r="54" spans="1:37" ht="14" x14ac:dyDescent="0.15">
      <c r="A54" s="17">
        <v>3620</v>
      </c>
      <c r="B54" s="18">
        <v>1100</v>
      </c>
      <c r="C54" s="3">
        <f>H54</f>
        <v>1.8236999999999999E-3</v>
      </c>
      <c r="D54" s="3">
        <f>I54</f>
        <v>6.2199999999999994E-5</v>
      </c>
      <c r="E54" s="1" t="s">
        <v>29</v>
      </c>
      <c r="F54" s="3">
        <v>1.4031E-3</v>
      </c>
      <c r="G54" s="3">
        <v>3.0000000000000001E-5</v>
      </c>
      <c r="H54" s="3">
        <v>1.8236999999999999E-3</v>
      </c>
      <c r="I54" s="3">
        <v>6.2199999999999994E-5</v>
      </c>
      <c r="J54" s="8">
        <v>46.73</v>
      </c>
      <c r="K54" s="19">
        <f t="shared" ref="K54:K64" si="56">3*AE54</f>
        <v>8.6700000000000007E-5</v>
      </c>
      <c r="L54" s="10">
        <v>1023.477</v>
      </c>
      <c r="M54" s="2">
        <v>7.4800000000000005E-2</v>
      </c>
      <c r="N54" s="2">
        <v>1025.5239999999999</v>
      </c>
      <c r="O54" s="2">
        <v>0.1593</v>
      </c>
      <c r="P54" s="14">
        <f>(L54-1024)*(-0.2)</f>
        <v>0.10460000000000491</v>
      </c>
      <c r="Q54" s="14">
        <f>M54*0.2</f>
        <v>1.4960000000000001E-2</v>
      </c>
      <c r="R54" s="14">
        <f>(N54-1024)*(0.2)</f>
        <v>0.30479999999997748</v>
      </c>
      <c r="S54" s="14">
        <f>O54*0.2</f>
        <v>3.1859999999999999E-2</v>
      </c>
      <c r="T54">
        <f>16.83*5.37</f>
        <v>90.377099999999999</v>
      </c>
      <c r="U54" s="2">
        <v>5.4180000000000001E-3</v>
      </c>
      <c r="V54" s="4">
        <v>4.2929999999999999E-3</v>
      </c>
      <c r="W54" s="4">
        <v>6.3740000000000003E-3</v>
      </c>
      <c r="X54" s="1">
        <v>2.4190000000000001E-3</v>
      </c>
      <c r="Y54" s="5">
        <v>1.5020000000000001E-3</v>
      </c>
      <c r="Z54" s="5">
        <v>2.849E-3</v>
      </c>
      <c r="AA54" s="2">
        <v>174.785843</v>
      </c>
      <c r="AB54" s="1">
        <v>158.865982</v>
      </c>
      <c r="AC54" s="5">
        <v>3.4446560000000002</v>
      </c>
      <c r="AD54" s="3">
        <v>3.9649999999999998E-7</v>
      </c>
      <c r="AE54" s="3">
        <v>2.8900000000000001E-5</v>
      </c>
      <c r="AF54" s="3">
        <v>1.0175000000000001E-4</v>
      </c>
      <c r="AG54" s="3">
        <v>-1.0028E-4</v>
      </c>
      <c r="AH54" s="19"/>
    </row>
    <row r="55" spans="1:37" ht="14" x14ac:dyDescent="0.15">
      <c r="B55" s="15">
        <v>4000</v>
      </c>
      <c r="C55" s="3">
        <f>H55</f>
        <v>1.8864000000000001E-3</v>
      </c>
      <c r="D55" s="3">
        <f>I55</f>
        <v>6.2399999999999999E-5</v>
      </c>
      <c r="E55" s="1" t="s">
        <v>29</v>
      </c>
      <c r="F55" s="9">
        <v>1.4117999999999999E-3</v>
      </c>
      <c r="G55" s="3">
        <v>2.9499999999999999E-5</v>
      </c>
      <c r="H55" s="9">
        <v>1.8864000000000001E-3</v>
      </c>
      <c r="I55" s="9">
        <v>6.2399999999999999E-5</v>
      </c>
      <c r="J55" s="8">
        <v>47.79</v>
      </c>
      <c r="K55" s="19">
        <f t="shared" si="56"/>
        <v>9.2520000000000015E-5</v>
      </c>
      <c r="L55" s="11">
        <v>1023.543</v>
      </c>
      <c r="M55" s="8">
        <v>7.46E-2</v>
      </c>
      <c r="N55" s="8">
        <v>1025.548</v>
      </c>
      <c r="O55" s="8">
        <v>0.1588</v>
      </c>
      <c r="P55" s="14">
        <f t="shared" ref="P55:P64" si="57">(L55-1024)*(-0.2)</f>
        <v>9.1399999999998732E-2</v>
      </c>
      <c r="Q55" s="14">
        <f t="shared" ref="Q55:S64" si="58">M55*0.2</f>
        <v>1.4920000000000001E-2</v>
      </c>
      <c r="R55" s="14">
        <f t="shared" ref="R55:R64" si="59">(N55-1024)*(0.2)</f>
        <v>0.30960000000000037</v>
      </c>
      <c r="S55" s="14">
        <f t="shared" si="58"/>
        <v>3.1760000000000004E-2</v>
      </c>
      <c r="T55" s="8">
        <f>17.03*5.45</f>
        <v>92.813500000000005</v>
      </c>
      <c r="U55" s="2">
        <v>5.7200000000000003E-3</v>
      </c>
      <c r="V55" s="4">
        <v>4.6480000000000002E-3</v>
      </c>
      <c r="W55" s="4">
        <v>6.646E-3</v>
      </c>
      <c r="X55" s="8">
        <v>2.6180000000000001E-3</v>
      </c>
      <c r="Y55" s="5">
        <v>1.768E-3</v>
      </c>
      <c r="Z55" s="5">
        <v>3.0509999999999999E-3</v>
      </c>
      <c r="AA55" s="8">
        <v>175.669174</v>
      </c>
      <c r="AB55" s="8">
        <v>161.11113</v>
      </c>
      <c r="AC55" s="8">
        <v>4.0888819999999999</v>
      </c>
      <c r="AD55" s="9">
        <v>-8.0790000000000003E-7</v>
      </c>
      <c r="AE55" s="9">
        <v>3.0840000000000003E-5</v>
      </c>
      <c r="AF55" s="9">
        <v>1.1626E-4</v>
      </c>
      <c r="AG55" s="9">
        <v>-1.0822E-4</v>
      </c>
      <c r="AH55" s="19"/>
    </row>
    <row r="56" spans="1:37" ht="14" x14ac:dyDescent="0.15">
      <c r="B56" s="15">
        <v>7500</v>
      </c>
      <c r="C56" s="9">
        <f>F56</f>
        <v>1.3760000000000001E-3</v>
      </c>
      <c r="D56" s="9">
        <f>G56</f>
        <v>3.3000000000000003E-5</v>
      </c>
      <c r="E56" s="33" t="s">
        <v>81</v>
      </c>
      <c r="F56" s="9">
        <v>1.3760000000000001E-3</v>
      </c>
      <c r="G56" s="9">
        <v>3.3000000000000003E-5</v>
      </c>
      <c r="H56" s="9">
        <v>1.6125E-3</v>
      </c>
      <c r="I56" s="9">
        <v>6.3600000000000001E-5</v>
      </c>
      <c r="J56" s="8">
        <v>41.7</v>
      </c>
      <c r="K56" s="19">
        <f t="shared" si="56"/>
        <v>9.5310000000000007E-5</v>
      </c>
      <c r="L56" s="8">
        <v>1023.371</v>
      </c>
      <c r="M56" s="8">
        <v>7.3700000000000002E-2</v>
      </c>
      <c r="N56" s="8">
        <v>1025.548</v>
      </c>
      <c r="O56" s="8">
        <v>0.1636</v>
      </c>
      <c r="P56" s="14">
        <f t="shared" si="57"/>
        <v>0.12580000000000383</v>
      </c>
      <c r="Q56" s="14">
        <f t="shared" si="58"/>
        <v>1.4740000000000001E-2</v>
      </c>
      <c r="R56" s="14">
        <f t="shared" si="59"/>
        <v>0.30960000000000037</v>
      </c>
      <c r="S56" s="14">
        <f t="shared" si="58"/>
        <v>3.2719999999999999E-2</v>
      </c>
      <c r="T56">
        <f>16.2*4.88</f>
        <v>79.055999999999997</v>
      </c>
      <c r="U56" s="8">
        <v>3.581E-3</v>
      </c>
      <c r="V56" s="8">
        <v>0</v>
      </c>
      <c r="W56" s="8">
        <v>4.8060000000000004E-3</v>
      </c>
      <c r="X56" s="8">
        <v>1.049E-3</v>
      </c>
      <c r="Y56" s="8">
        <v>0</v>
      </c>
      <c r="Z56" s="8">
        <v>3.1510000000000002E-3</v>
      </c>
      <c r="AA56" s="8">
        <v>10.529304</v>
      </c>
      <c r="AB56" s="8">
        <v>154.444458</v>
      </c>
      <c r="AC56" s="8">
        <v>30.785184999999998</v>
      </c>
      <c r="AD56" s="9">
        <v>1.318E-7</v>
      </c>
      <c r="AE56" s="9">
        <v>3.1770000000000002E-5</v>
      </c>
      <c r="AF56" s="9">
        <v>1.306E-4</v>
      </c>
      <c r="AG56" s="9">
        <v>-1.2542E-4</v>
      </c>
      <c r="AH56" s="19"/>
    </row>
    <row r="57" spans="1:37" ht="14" x14ac:dyDescent="0.15">
      <c r="B57" s="15">
        <v>10000</v>
      </c>
      <c r="C57" s="9">
        <f t="shared" ref="C57:C60" si="60">F57</f>
        <v>1.289E-3</v>
      </c>
      <c r="D57" s="9">
        <f t="shared" ref="D57:D60" si="61">G57</f>
        <v>3.8000000000000002E-5</v>
      </c>
      <c r="E57" s="33" t="s">
        <v>81</v>
      </c>
      <c r="F57" s="3">
        <v>1.289E-3</v>
      </c>
      <c r="G57" s="3">
        <v>3.8000000000000002E-5</v>
      </c>
      <c r="H57" s="3">
        <v>1.3652E-3</v>
      </c>
      <c r="I57" s="3">
        <v>6.8399999999999996E-5</v>
      </c>
      <c r="J57" s="8">
        <v>33.909999999999997</v>
      </c>
      <c r="K57" s="19">
        <f t="shared" si="56"/>
        <v>1.1574E-4</v>
      </c>
      <c r="L57" s="10">
        <v>1023.424</v>
      </c>
      <c r="M57" s="2">
        <v>8.0199999999999994E-2</v>
      </c>
      <c r="N57" s="2">
        <v>1026.17</v>
      </c>
      <c r="O57" s="2">
        <v>0.19359999999999999</v>
      </c>
      <c r="P57" s="14">
        <f t="shared" si="57"/>
        <v>0.11520000000000437</v>
      </c>
      <c r="Q57" s="14">
        <f t="shared" si="58"/>
        <v>1.6039999999999999E-2</v>
      </c>
      <c r="R57" s="14">
        <f t="shared" si="59"/>
        <v>0.4340000000000146</v>
      </c>
      <c r="S57" s="14">
        <f t="shared" si="58"/>
        <v>3.8720000000000004E-2</v>
      </c>
      <c r="T57" s="6">
        <f>15.83*4.25</f>
        <v>67.277500000000003</v>
      </c>
      <c r="U57" s="2">
        <v>2.8609999999999998E-3</v>
      </c>
      <c r="V57" s="1">
        <v>0</v>
      </c>
      <c r="W57" s="2">
        <v>4.4349999999999997E-3</v>
      </c>
      <c r="X57" s="1">
        <v>0</v>
      </c>
      <c r="Y57" s="1">
        <v>0</v>
      </c>
      <c r="Z57" s="2">
        <v>2.2680000000000001E-3</v>
      </c>
      <c r="AA57" s="2">
        <v>11.128009</v>
      </c>
      <c r="AB57" s="2">
        <v>147.68615700000001</v>
      </c>
      <c r="AC57" s="2">
        <v>55.941218999999997</v>
      </c>
      <c r="AD57" s="3">
        <v>-4.686E-7</v>
      </c>
      <c r="AE57" s="3">
        <v>3.858E-5</v>
      </c>
      <c r="AF57" s="3">
        <v>1.2101E-4</v>
      </c>
      <c r="AG57" s="3">
        <v>-1.4630000000000001E-4</v>
      </c>
      <c r="AH57" s="19"/>
    </row>
    <row r="58" spans="1:37" ht="14" x14ac:dyDescent="0.15">
      <c r="B58" s="15">
        <v>15000</v>
      </c>
      <c r="C58" s="9">
        <f t="shared" si="60"/>
        <v>1.1447E-3</v>
      </c>
      <c r="D58" s="9">
        <f t="shared" si="61"/>
        <v>4.6999999999999997E-5</v>
      </c>
      <c r="E58" s="1" t="s">
        <v>30</v>
      </c>
      <c r="F58" s="3">
        <v>1.1447E-3</v>
      </c>
      <c r="G58" s="3">
        <v>4.6999999999999997E-5</v>
      </c>
      <c r="H58" s="3">
        <v>1.0118E-3</v>
      </c>
      <c r="I58" s="3">
        <v>7.5099999999999996E-5</v>
      </c>
      <c r="J58" s="8">
        <v>24.35</v>
      </c>
      <c r="K58" s="19">
        <f t="shared" si="56"/>
        <v>1.3515000000000001E-4</v>
      </c>
      <c r="L58" s="10">
        <v>1023.621</v>
      </c>
      <c r="M58" s="2">
        <v>0.10349999999999999</v>
      </c>
      <c r="N58" s="2">
        <v>1027.3050000000001</v>
      </c>
      <c r="O58" s="2">
        <v>0.27660000000000001</v>
      </c>
      <c r="P58" s="14">
        <f t="shared" si="57"/>
        <v>7.5800000000003823E-2</v>
      </c>
      <c r="Q58" s="14">
        <f t="shared" si="58"/>
        <v>2.07E-2</v>
      </c>
      <c r="R58" s="14">
        <f t="shared" si="59"/>
        <v>0.6610000000000128</v>
      </c>
      <c r="S58" s="14">
        <f t="shared" si="58"/>
        <v>5.5320000000000008E-2</v>
      </c>
      <c r="T58" s="6">
        <f>17.53*3.6</f>
        <v>63.108000000000004</v>
      </c>
      <c r="U58" s="2">
        <v>6.0400000000000004E-4</v>
      </c>
      <c r="V58" s="1">
        <v>0</v>
      </c>
      <c r="W58" s="2">
        <v>2.137E-3</v>
      </c>
      <c r="X58" s="1">
        <v>0</v>
      </c>
      <c r="Y58" s="1">
        <v>0</v>
      </c>
      <c r="Z58" s="2">
        <v>2.6819999999999999E-3</v>
      </c>
      <c r="AA58" s="2">
        <v>146.611176</v>
      </c>
      <c r="AB58" s="2">
        <v>113.231201</v>
      </c>
      <c r="AC58" s="2">
        <v>0.99656699999999998</v>
      </c>
      <c r="AD58" s="3">
        <v>-1.3790000000000001E-7</v>
      </c>
      <c r="AE58" s="3">
        <v>4.5049999999999997E-5</v>
      </c>
      <c r="AF58" s="3">
        <v>1.7747999999999999E-4</v>
      </c>
      <c r="AG58" s="3">
        <v>-1.6228999999999999E-4</v>
      </c>
      <c r="AH58" s="19"/>
    </row>
    <row r="59" spans="1:37" ht="14" x14ac:dyDescent="0.15">
      <c r="B59" s="15">
        <v>20000</v>
      </c>
      <c r="C59" s="9">
        <f t="shared" si="60"/>
        <v>1.098E-3</v>
      </c>
      <c r="D59" s="9">
        <f t="shared" si="61"/>
        <v>6.1400000000000002E-5</v>
      </c>
      <c r="E59" s="1" t="s">
        <v>30</v>
      </c>
      <c r="F59" s="3">
        <v>1.098E-3</v>
      </c>
      <c r="G59" s="3">
        <v>6.1400000000000002E-5</v>
      </c>
      <c r="H59" s="3">
        <v>1.1284999999999999E-3</v>
      </c>
      <c r="I59" s="3">
        <v>1.08E-4</v>
      </c>
      <c r="J59" s="8">
        <v>17.87</v>
      </c>
      <c r="K59" s="19">
        <f t="shared" si="56"/>
        <v>1.6896000000000001E-4</v>
      </c>
      <c r="L59" s="10">
        <v>1023.558</v>
      </c>
      <c r="M59" s="2">
        <v>0.1356</v>
      </c>
      <c r="N59" s="2">
        <v>1027.1690000000001</v>
      </c>
      <c r="O59" s="2">
        <v>0.39360000000000001</v>
      </c>
      <c r="P59" s="14">
        <f t="shared" si="57"/>
        <v>8.8400000000001464E-2</v>
      </c>
      <c r="Q59" s="14">
        <f t="shared" si="58"/>
        <v>2.7120000000000002E-2</v>
      </c>
      <c r="R59" s="14">
        <f t="shared" si="59"/>
        <v>0.63380000000001935</v>
      </c>
      <c r="S59" s="14">
        <f t="shared" si="58"/>
        <v>7.8720000000000012E-2</v>
      </c>
      <c r="T59" s="6">
        <f>16.12*3.15</f>
        <v>50.777999999999999</v>
      </c>
      <c r="U59" s="2">
        <v>4.712E-3</v>
      </c>
      <c r="V59" s="1">
        <v>0</v>
      </c>
      <c r="W59" s="2">
        <v>6.9189999999999998E-3</v>
      </c>
      <c r="X59" s="1">
        <v>0</v>
      </c>
      <c r="Y59" s="1">
        <v>0</v>
      </c>
      <c r="Z59" s="2">
        <v>2.4099999999999998E-3</v>
      </c>
      <c r="AA59" s="2">
        <v>173.48228499999999</v>
      </c>
      <c r="AB59" s="2">
        <v>130.811035</v>
      </c>
      <c r="AC59" s="2">
        <v>34.466231999999998</v>
      </c>
      <c r="AD59" s="3">
        <v>-5.5130000000000002E-7</v>
      </c>
      <c r="AE59" s="3">
        <v>5.6320000000000003E-5</v>
      </c>
      <c r="AF59" s="3">
        <v>2.1092999999999999E-4</v>
      </c>
      <c r="AG59" s="3">
        <v>-2.2258E-4</v>
      </c>
      <c r="AH59" s="19"/>
    </row>
    <row r="60" spans="1:37" ht="14" x14ac:dyDescent="0.15">
      <c r="B60" s="15">
        <v>25000</v>
      </c>
      <c r="C60" s="9">
        <f t="shared" si="60"/>
        <v>9.7725000000000004E-4</v>
      </c>
      <c r="D60" s="9">
        <f t="shared" si="61"/>
        <v>8.7399999999999997E-5</v>
      </c>
      <c r="E60" s="1" t="s">
        <v>30</v>
      </c>
      <c r="F60" s="3">
        <v>9.7725000000000004E-4</v>
      </c>
      <c r="G60" s="3">
        <v>8.7399999999999997E-5</v>
      </c>
      <c r="H60" s="3">
        <v>1.0617999999999999E-3</v>
      </c>
      <c r="I60" s="3">
        <v>1.6000000000000001E-4</v>
      </c>
      <c r="J60" s="8">
        <v>11.19</v>
      </c>
      <c r="K60" s="19">
        <f t="shared" si="56"/>
        <v>2.5080000000000002E-4</v>
      </c>
      <c r="L60" s="10">
        <v>1023.323</v>
      </c>
      <c r="M60" s="2">
        <v>0.2205</v>
      </c>
      <c r="N60" s="2">
        <v>1027.0070000000001</v>
      </c>
      <c r="O60" s="2">
        <v>0.60550000000000004</v>
      </c>
      <c r="P60" s="14">
        <f t="shared" si="57"/>
        <v>0.13540000000000418</v>
      </c>
      <c r="Q60" s="14">
        <f t="shared" si="58"/>
        <v>4.41E-2</v>
      </c>
      <c r="R60" s="14">
        <f t="shared" si="59"/>
        <v>0.60140000000001237</v>
      </c>
      <c r="S60" s="14">
        <f t="shared" si="58"/>
        <v>0.12110000000000001</v>
      </c>
      <c r="T60" s="6">
        <f>14.92*2.74</f>
        <v>40.880800000000001</v>
      </c>
      <c r="U60" s="2">
        <v>5.7730000000000004E-3</v>
      </c>
      <c r="V60" s="1">
        <v>0</v>
      </c>
      <c r="W60" s="2">
        <v>8.5290000000000001E-3</v>
      </c>
      <c r="X60" s="1">
        <v>0</v>
      </c>
      <c r="Y60" s="1">
        <v>0</v>
      </c>
      <c r="Z60" s="2">
        <v>2.519E-3</v>
      </c>
      <c r="AA60" s="1">
        <v>167.94122300000001</v>
      </c>
      <c r="AB60" s="1">
        <v>123.973511</v>
      </c>
      <c r="AC60" s="5">
        <v>30.367294000000001</v>
      </c>
      <c r="AD60" s="3">
        <v>1.134E-7</v>
      </c>
      <c r="AE60" s="3">
        <v>8.3599999999999999E-5</v>
      </c>
      <c r="AF60" s="3">
        <v>2.9538999999999998E-4</v>
      </c>
      <c r="AG60" s="3">
        <v>-3.0020999999999997E-4</v>
      </c>
      <c r="AH60" s="19"/>
    </row>
    <row r="61" spans="1:37" ht="14" x14ac:dyDescent="0.15">
      <c r="B61" s="15">
        <v>30000</v>
      </c>
      <c r="C61" s="3">
        <f>3*AE61</f>
        <v>3.1800000000000003E-4</v>
      </c>
      <c r="D61" s="3">
        <v>0</v>
      </c>
      <c r="E61" s="1" t="s">
        <v>40</v>
      </c>
      <c r="F61" s="3">
        <v>-8.1035999999999999E-4</v>
      </c>
      <c r="G61" s="3">
        <v>1.2E-4</v>
      </c>
      <c r="H61" s="3">
        <v>-7.4021000000000004E-4</v>
      </c>
      <c r="I61" s="3">
        <v>1.9599999999999999E-4</v>
      </c>
      <c r="J61" s="8">
        <v>-6.73</v>
      </c>
      <c r="K61" s="19">
        <f t="shared" si="56"/>
        <v>3.1800000000000003E-4</v>
      </c>
      <c r="L61" s="10">
        <v>1020.217</v>
      </c>
      <c r="M61" s="2">
        <v>0.34439999999999998</v>
      </c>
      <c r="N61" s="2">
        <v>1029.5450000000001</v>
      </c>
      <c r="O61" s="2">
        <v>0.88900000000000001</v>
      </c>
      <c r="P61" s="14">
        <f t="shared" si="57"/>
        <v>0.75660000000000316</v>
      </c>
      <c r="Q61" s="14">
        <f t="shared" si="58"/>
        <v>6.8879999999999997E-2</v>
      </c>
      <c r="R61" s="14">
        <f t="shared" si="59"/>
        <v>1.1090000000000146</v>
      </c>
      <c r="S61" s="14">
        <f t="shared" si="58"/>
        <v>0.17780000000000001</v>
      </c>
      <c r="T61" s="6">
        <f>14.9*2.38</f>
        <v>35.461999999999996</v>
      </c>
      <c r="U61" s="2">
        <v>1.9350000000000001E-3</v>
      </c>
      <c r="V61" s="1">
        <v>0</v>
      </c>
      <c r="W61" s="2">
        <v>7.4830000000000001E-3</v>
      </c>
      <c r="X61" s="1">
        <v>0</v>
      </c>
      <c r="Y61" s="1">
        <v>0</v>
      </c>
      <c r="Z61" s="2">
        <v>1.472E-3</v>
      </c>
      <c r="AA61" s="2">
        <v>18.667266999999999</v>
      </c>
      <c r="AB61" s="2">
        <v>155.59240700000001</v>
      </c>
      <c r="AC61" s="2">
        <v>61.692314000000003</v>
      </c>
      <c r="AD61" s="3">
        <v>8.1330000000000001E-7</v>
      </c>
      <c r="AE61" s="3">
        <v>1.06E-4</v>
      </c>
      <c r="AF61" s="3">
        <v>3.9497000000000002E-4</v>
      </c>
      <c r="AG61" s="3">
        <v>-3.9546999999999998E-4</v>
      </c>
    </row>
    <row r="62" spans="1:37" ht="14" x14ac:dyDescent="0.15">
      <c r="B62" s="15">
        <v>35000</v>
      </c>
      <c r="C62" s="3">
        <f t="shared" ref="C62:C64" si="62">3*AE62</f>
        <v>5.0640000000000006E-4</v>
      </c>
      <c r="D62" s="3">
        <v>0</v>
      </c>
      <c r="E62" s="1" t="s">
        <v>40</v>
      </c>
      <c r="F62" s="3">
        <v>-6.4411999999999998E-4</v>
      </c>
      <c r="G62" s="3">
        <v>1.6200000000000001E-4</v>
      </c>
      <c r="H62" s="3">
        <v>-5.7598999999999997E-4</v>
      </c>
      <c r="I62" s="3">
        <v>2.5999999999999998E-4</v>
      </c>
      <c r="J62" s="8">
        <v>-3.98</v>
      </c>
      <c r="K62" s="19">
        <f t="shared" si="56"/>
        <v>5.0640000000000006E-4</v>
      </c>
      <c r="L62" s="10">
        <v>1020.627</v>
      </c>
      <c r="M62" s="2">
        <v>0.57950000000000002</v>
      </c>
      <c r="N62" s="2">
        <v>1030.0709999999999</v>
      </c>
      <c r="O62" s="2">
        <v>1.4057999999999999</v>
      </c>
      <c r="P62" s="14">
        <f t="shared" si="57"/>
        <v>0.67460000000000953</v>
      </c>
      <c r="Q62" s="14">
        <f t="shared" si="58"/>
        <v>0.1159</v>
      </c>
      <c r="R62" s="14">
        <f t="shared" si="59"/>
        <v>1.2141999999999826</v>
      </c>
      <c r="S62" s="14">
        <f t="shared" si="58"/>
        <v>0.28116000000000002</v>
      </c>
      <c r="T62" s="6">
        <f>14.1*2.22</f>
        <v>31.302000000000003</v>
      </c>
      <c r="U62" s="2">
        <v>1.9580000000000001E-3</v>
      </c>
      <c r="V62" s="1">
        <v>0</v>
      </c>
      <c r="W62" s="2">
        <v>9.3779999999999992E-3</v>
      </c>
      <c r="X62" s="1">
        <v>0</v>
      </c>
      <c r="Y62" s="1">
        <v>0</v>
      </c>
      <c r="Z62" s="2">
        <v>9.2530000000000008E-3</v>
      </c>
      <c r="AA62" s="1">
        <v>19.853815000000001</v>
      </c>
      <c r="AB62" s="1">
        <v>156.854736</v>
      </c>
      <c r="AC62" s="5">
        <v>64.562720999999996</v>
      </c>
      <c r="AD62" s="3">
        <v>4.9940000000000004E-7</v>
      </c>
      <c r="AE62" s="3">
        <v>1.6880000000000001E-4</v>
      </c>
      <c r="AF62" s="3">
        <v>5.7032999999999997E-4</v>
      </c>
      <c r="AG62" s="3">
        <v>-5.5646000000000005E-4</v>
      </c>
      <c r="AI62" s="15"/>
      <c r="AJ62" s="15"/>
    </row>
    <row r="63" spans="1:37" ht="14" x14ac:dyDescent="0.15">
      <c r="B63" s="15">
        <v>40000</v>
      </c>
      <c r="C63" s="3">
        <f t="shared" si="62"/>
        <v>5.7269999999999999E-4</v>
      </c>
      <c r="D63" s="3">
        <v>0</v>
      </c>
      <c r="E63" s="1" t="s">
        <v>40</v>
      </c>
      <c r="F63" s="3">
        <v>-5.1984000000000004E-4</v>
      </c>
      <c r="G63" s="3">
        <v>1.9000000000000001E-4</v>
      </c>
      <c r="H63" s="3">
        <v>-3.7085999999999998E-4</v>
      </c>
      <c r="I63" s="3">
        <v>2.6499999999999999E-4</v>
      </c>
      <c r="J63" s="8">
        <v>-2.73</v>
      </c>
      <c r="K63" s="19">
        <f t="shared" si="56"/>
        <v>5.7269999999999999E-4</v>
      </c>
      <c r="L63" s="10">
        <v>1029.2329999999999</v>
      </c>
      <c r="M63" s="2">
        <v>0.76470000000000005</v>
      </c>
      <c r="N63" s="2">
        <v>1087.0229999999999</v>
      </c>
      <c r="O63" s="2">
        <v>1.6471</v>
      </c>
      <c r="P63" s="14">
        <f t="shared" si="57"/>
        <v>-1.0465999999999895</v>
      </c>
      <c r="Q63" s="14">
        <f t="shared" si="58"/>
        <v>0.15294000000000002</v>
      </c>
      <c r="R63" s="14">
        <f t="shared" si="59"/>
        <v>12.604599999999984</v>
      </c>
      <c r="S63" s="14">
        <f t="shared" si="58"/>
        <v>0.32942000000000005</v>
      </c>
      <c r="T63" s="6">
        <f>13.26*2.18</f>
        <v>28.9068</v>
      </c>
      <c r="U63" s="1">
        <v>0</v>
      </c>
      <c r="V63" s="1">
        <v>0</v>
      </c>
      <c r="W63" s="2">
        <v>8.2109999999999995E-3</v>
      </c>
      <c r="X63" s="1">
        <v>0</v>
      </c>
      <c r="Y63" s="1">
        <v>0</v>
      </c>
      <c r="Z63" s="2">
        <v>1.1019999999999999E-3</v>
      </c>
      <c r="AA63" s="1">
        <v>0</v>
      </c>
      <c r="AB63" s="1">
        <v>0</v>
      </c>
      <c r="AC63" s="2">
        <v>174.63471999999999</v>
      </c>
      <c r="AD63" s="3">
        <v>2.6449999999999999E-9</v>
      </c>
      <c r="AE63" s="3">
        <v>1.9090000000000001E-4</v>
      </c>
      <c r="AF63" s="3">
        <v>6.3330000000000005E-4</v>
      </c>
      <c r="AG63" s="3">
        <v>-6.3336000000000002E-4</v>
      </c>
    </row>
    <row r="64" spans="1:37" ht="14" x14ac:dyDescent="0.15">
      <c r="B64" s="15">
        <v>43000</v>
      </c>
      <c r="C64" s="3">
        <f t="shared" si="62"/>
        <v>4.6320000000000004E-4</v>
      </c>
      <c r="D64" s="3">
        <v>0</v>
      </c>
      <c r="E64" s="1" t="s">
        <v>40</v>
      </c>
      <c r="F64" s="3">
        <v>5.6439999999999995E-4</v>
      </c>
      <c r="G64" s="3">
        <v>2.4600000000000002E-4</v>
      </c>
      <c r="H64" s="3">
        <v>8.4427000000000005E-4</v>
      </c>
      <c r="I64" s="3">
        <v>5.6300000000000002E-4</v>
      </c>
      <c r="J64" s="8">
        <v>2.29</v>
      </c>
      <c r="K64" s="19">
        <f t="shared" si="56"/>
        <v>4.6320000000000004E-4</v>
      </c>
      <c r="L64" s="10">
        <v>1034.624</v>
      </c>
      <c r="M64" s="2">
        <v>2.5876000000000001</v>
      </c>
      <c r="N64" s="2">
        <v>1090.3689999999999</v>
      </c>
      <c r="O64" s="2">
        <v>4.5331000000000001</v>
      </c>
      <c r="P64" s="14">
        <f t="shared" si="57"/>
        <v>-2.1248000000000049</v>
      </c>
      <c r="Q64" s="14">
        <f t="shared" si="58"/>
        <v>0.51752000000000009</v>
      </c>
      <c r="R64" s="14">
        <f t="shared" si="59"/>
        <v>13.273799999999984</v>
      </c>
      <c r="S64" s="14">
        <f t="shared" si="58"/>
        <v>0.90662000000000009</v>
      </c>
      <c r="T64" s="6">
        <f>15.09*2.12</f>
        <v>31.9908</v>
      </c>
      <c r="U64" s="2">
        <v>1.7812999999999999E-2</v>
      </c>
      <c r="V64" s="1">
        <v>0</v>
      </c>
      <c r="W64" s="2">
        <v>3.1078999999999999E-2</v>
      </c>
      <c r="X64" s="1">
        <v>0</v>
      </c>
      <c r="Y64" s="1">
        <v>0</v>
      </c>
      <c r="Z64" s="2">
        <v>1.199E-3</v>
      </c>
      <c r="AA64" s="1">
        <v>148.92997700000001</v>
      </c>
      <c r="AB64" s="1">
        <v>117.860107</v>
      </c>
      <c r="AC64" s="5">
        <v>152.80723599999999</v>
      </c>
      <c r="AD64" s="3">
        <v>6.8100000000000002E-7</v>
      </c>
      <c r="AE64" s="3">
        <v>1.5440000000000001E-4</v>
      </c>
      <c r="AF64" s="3">
        <v>7.3974000000000002E-4</v>
      </c>
      <c r="AG64" s="3">
        <v>-4.7866E-4</v>
      </c>
    </row>
    <row r="65" spans="2:29" ht="14" x14ac:dyDescent="0.15">
      <c r="B65" s="1">
        <v>5000</v>
      </c>
      <c r="C65" s="3">
        <v>6.7403000000000005E-4</v>
      </c>
      <c r="D65" s="3">
        <v>3.8399999999999998E-5</v>
      </c>
      <c r="E65" s="1" t="s">
        <v>30</v>
      </c>
      <c r="F65" s="3">
        <v>6.7403000000000005E-4</v>
      </c>
      <c r="G65" s="3">
        <v>3.8399999999999998E-5</v>
      </c>
      <c r="H65" s="3">
        <v>5.6022000000000005E-4</v>
      </c>
      <c r="I65" s="3">
        <v>5.8799999999999999E-5</v>
      </c>
      <c r="J65" s="8">
        <v>17.57</v>
      </c>
      <c r="K65" s="7">
        <f>3*AA65</f>
        <v>1.2558E-4</v>
      </c>
      <c r="L65" s="2">
        <v>1023.572</v>
      </c>
      <c r="M65" s="2">
        <v>0.1186</v>
      </c>
      <c r="N65" s="2">
        <v>1025.096</v>
      </c>
      <c r="O65" s="2">
        <v>0.3306</v>
      </c>
      <c r="P65" s="6">
        <f>15.83*4.25</f>
        <v>67.277500000000003</v>
      </c>
      <c r="Q65" s="2">
        <v>2.0760000000000002E-3</v>
      </c>
      <c r="R65" s="1">
        <v>0</v>
      </c>
      <c r="S65" s="5">
        <v>3.6410000000000001E-3</v>
      </c>
      <c r="T65" s="1">
        <v>0</v>
      </c>
      <c r="U65" s="1">
        <v>0</v>
      </c>
      <c r="V65" s="1">
        <v>0</v>
      </c>
      <c r="W65" s="2">
        <v>142.56111100000001</v>
      </c>
      <c r="X65" s="4">
        <v>105.122803</v>
      </c>
      <c r="Y65" s="4">
        <v>156.502701</v>
      </c>
      <c r="Z65" s="3">
        <v>-3.7640000000000001E-7</v>
      </c>
      <c r="AA65" s="3">
        <v>4.1860000000000002E-5</v>
      </c>
      <c r="AB65" s="3">
        <v>1.2038E-4</v>
      </c>
      <c r="AC65" s="3">
        <v>-1.2433999999999999E-4</v>
      </c>
    </row>
    <row r="66" spans="2:29" x14ac:dyDescent="0.15">
      <c r="P66" s="19"/>
    </row>
    <row r="83" spans="2:33" x14ac:dyDescent="0.15">
      <c r="B83" s="14" t="s">
        <v>39</v>
      </c>
    </row>
    <row r="84" spans="2:33" x14ac:dyDescent="0.15">
      <c r="C84" s="15" t="s">
        <v>35</v>
      </c>
      <c r="D84" s="15" t="s">
        <v>6</v>
      </c>
      <c r="E84" s="15" t="s">
        <v>10</v>
      </c>
      <c r="F84" s="15" t="s">
        <v>11</v>
      </c>
      <c r="G84" s="15" t="s">
        <v>6</v>
      </c>
      <c r="H84" s="15" t="s">
        <v>12</v>
      </c>
      <c r="I84" s="15" t="s">
        <v>6</v>
      </c>
      <c r="J84" s="15" t="s">
        <v>32</v>
      </c>
      <c r="K84" s="15" t="s">
        <v>33</v>
      </c>
      <c r="L84" s="15" t="s">
        <v>13</v>
      </c>
      <c r="M84" s="15" t="s">
        <v>14</v>
      </c>
      <c r="N84" s="15" t="s">
        <v>15</v>
      </c>
      <c r="O84" s="15" t="s">
        <v>14</v>
      </c>
      <c r="P84" s="1" t="s">
        <v>62</v>
      </c>
      <c r="Q84" s="1" t="s">
        <v>63</v>
      </c>
      <c r="R84" s="1" t="s">
        <v>64</v>
      </c>
      <c r="S84" s="1" t="s">
        <v>63</v>
      </c>
      <c r="T84" s="15" t="s">
        <v>31</v>
      </c>
      <c r="U84" s="15" t="s">
        <v>16</v>
      </c>
      <c r="V84" s="15" t="s">
        <v>17</v>
      </c>
      <c r="W84" s="15" t="s">
        <v>18</v>
      </c>
      <c r="X84" s="15" t="s">
        <v>19</v>
      </c>
      <c r="Y84" s="15" t="s">
        <v>20</v>
      </c>
      <c r="Z84" s="15" t="s">
        <v>21</v>
      </c>
      <c r="AA84" s="15" t="s">
        <v>22</v>
      </c>
      <c r="AB84" s="15" t="s">
        <v>23</v>
      </c>
      <c r="AC84" s="15" t="s">
        <v>24</v>
      </c>
      <c r="AD84" s="15" t="s">
        <v>25</v>
      </c>
      <c r="AE84" s="15" t="s">
        <v>26</v>
      </c>
      <c r="AF84" s="15" t="s">
        <v>27</v>
      </c>
      <c r="AG84" s="15" t="s">
        <v>28</v>
      </c>
    </row>
    <row r="85" spans="2:33" ht="14" x14ac:dyDescent="0.15">
      <c r="B85" s="15">
        <v>3620</v>
      </c>
      <c r="C85" s="31">
        <f>H85</f>
        <v>1.2746000000000001E-3</v>
      </c>
      <c r="D85" s="31">
        <f>I85</f>
        <v>5.5600000000000003E-5</v>
      </c>
      <c r="E85" s="33" t="s">
        <v>29</v>
      </c>
      <c r="F85" s="31">
        <v>6.4583000000000002E-4</v>
      </c>
      <c r="G85" s="31">
        <v>1.9899999999999999E-5</v>
      </c>
      <c r="H85" s="31">
        <v>1.2746000000000001E-3</v>
      </c>
      <c r="I85" s="31">
        <v>5.5600000000000003E-5</v>
      </c>
      <c r="J85" s="33">
        <v>32.53</v>
      </c>
      <c r="K85" s="19">
        <f>3*AE85</f>
        <v>6.444E-5</v>
      </c>
      <c r="L85" s="33">
        <v>1011.9640000000001</v>
      </c>
      <c r="M85" s="33">
        <v>0.19520000000000001</v>
      </c>
      <c r="N85" s="33">
        <v>1036.4390000000001</v>
      </c>
      <c r="O85" s="33">
        <v>0.26369999999999999</v>
      </c>
      <c r="P85" s="14">
        <f>(L85-1024)*(-0.2)</f>
        <v>2.4071999999999889</v>
      </c>
      <c r="Q85" s="14">
        <f>M85*0.2</f>
        <v>3.9040000000000005E-2</v>
      </c>
      <c r="R85" s="14">
        <f>(N85-1024)*(0.2)</f>
        <v>2.487800000000016</v>
      </c>
      <c r="S85" s="14">
        <f>O85*0.2</f>
        <v>5.2740000000000002E-2</v>
      </c>
      <c r="T85" s="15">
        <f>19.45
*7.31</f>
        <v>142.17949999999999</v>
      </c>
      <c r="U85" s="8" t="s">
        <v>80</v>
      </c>
      <c r="V85" s="33">
        <v>2.078E-3</v>
      </c>
      <c r="W85" s="33">
        <v>2.6610000000000002E-3</v>
      </c>
      <c r="X85" s="33">
        <v>1.5870000000000001E-3</v>
      </c>
      <c r="Y85" s="33">
        <v>8.8999999999999995E-4</v>
      </c>
      <c r="Z85" s="33">
        <v>2.0820000000000001E-3</v>
      </c>
      <c r="AA85" s="33">
        <v>98.529281999999995</v>
      </c>
      <c r="AB85" s="33">
        <v>70.507462000000004</v>
      </c>
      <c r="AC85" s="33">
        <v>118.353477</v>
      </c>
      <c r="AD85" s="31">
        <v>4.8139999999999996E-7</v>
      </c>
      <c r="AE85" s="31">
        <v>2.1480000000000001E-5</v>
      </c>
      <c r="AF85" s="31">
        <v>7.3250999999999994E-5</v>
      </c>
      <c r="AG85" s="31">
        <v>-6.8635999999999998E-5</v>
      </c>
    </row>
    <row r="86" spans="2:33" ht="14" x14ac:dyDescent="0.15">
      <c r="B86" s="15">
        <v>4000</v>
      </c>
      <c r="C86" s="31">
        <f t="shared" ref="C86:D91" si="63">H86</f>
        <v>1.2145999999999999E-3</v>
      </c>
      <c r="D86" s="31">
        <f t="shared" si="63"/>
        <v>5.6900000000000001E-5</v>
      </c>
      <c r="E86" s="33" t="s">
        <v>29</v>
      </c>
      <c r="F86" s="31">
        <v>6.2982999999999995E-4</v>
      </c>
      <c r="G86" s="31">
        <v>2.0699999999999998E-5</v>
      </c>
      <c r="H86" s="31">
        <v>1.2145999999999999E-3</v>
      </c>
      <c r="I86" s="31">
        <v>5.6900000000000001E-5</v>
      </c>
      <c r="J86" s="33">
        <v>30.45</v>
      </c>
      <c r="K86" s="19">
        <f t="shared" ref="K86:K103" si="64">3*AE86</f>
        <v>6.9660000000000007E-5</v>
      </c>
      <c r="L86" s="33">
        <v>1011.955</v>
      </c>
      <c r="M86" s="33">
        <v>0.2034</v>
      </c>
      <c r="N86" s="33">
        <v>1036.3510000000001</v>
      </c>
      <c r="O86" s="33">
        <v>0.27810000000000001</v>
      </c>
      <c r="P86" s="14">
        <f t="shared" ref="P86:P101" si="65">(L86-1024)*(-0.2)</f>
        <v>2.4089999999999918</v>
      </c>
      <c r="Q86" s="14">
        <f t="shared" ref="Q86:Q101" si="66">M86*0.2</f>
        <v>4.0680000000000001E-2</v>
      </c>
      <c r="R86" s="14">
        <f t="shared" ref="R86:R101" si="67">(N86-1024)*(0.2)</f>
        <v>2.4702000000000228</v>
      </c>
      <c r="S86" s="14">
        <f t="shared" ref="S86:S101" si="68">O86*0.2</f>
        <v>5.5620000000000003E-2</v>
      </c>
      <c r="T86" s="15">
        <f>19.22
*7.2</f>
        <v>138.38399999999999</v>
      </c>
      <c r="U86" s="8" t="s">
        <v>79</v>
      </c>
      <c r="V86" s="33">
        <v>1.9810000000000001E-3</v>
      </c>
      <c r="W86" s="33">
        <v>2.6440000000000001E-3</v>
      </c>
      <c r="X86" s="33">
        <v>1.521E-3</v>
      </c>
      <c r="Y86" s="33">
        <v>7.6099999999999996E-4</v>
      </c>
      <c r="Z86" s="33">
        <v>2.019E-3</v>
      </c>
      <c r="AA86" s="33">
        <v>104.02143100000001</v>
      </c>
      <c r="AB86" s="33">
        <v>75.003532000000007</v>
      </c>
      <c r="AC86" s="33">
        <v>126.536636</v>
      </c>
      <c r="AD86" s="31">
        <v>-6.0259999999999998E-8</v>
      </c>
      <c r="AE86" s="31">
        <v>2.3220000000000001E-5</v>
      </c>
      <c r="AF86" s="31">
        <v>7.8326999999999997E-5</v>
      </c>
      <c r="AG86" s="31">
        <v>-7.3224000000000002E-5</v>
      </c>
    </row>
    <row r="87" spans="2:33" ht="14" x14ac:dyDescent="0.15">
      <c r="B87" s="15">
        <v>7500</v>
      </c>
      <c r="C87" s="31">
        <f t="shared" si="63"/>
        <v>1.2231E-3</v>
      </c>
      <c r="D87" s="31">
        <f t="shared" si="63"/>
        <v>5.7399999999999999E-5</v>
      </c>
      <c r="E87" s="33" t="s">
        <v>29</v>
      </c>
      <c r="F87" s="31">
        <v>6.2823999999999996E-4</v>
      </c>
      <c r="G87" s="31">
        <v>2.0699999999999998E-5</v>
      </c>
      <c r="H87" s="31">
        <v>1.2231E-3</v>
      </c>
      <c r="I87" s="31">
        <v>5.7399999999999999E-5</v>
      </c>
      <c r="J87" s="33">
        <v>30.32</v>
      </c>
      <c r="K87" s="19">
        <f t="shared" si="64"/>
        <v>6.9930000000000003E-5</v>
      </c>
      <c r="L87" s="33">
        <v>1011.905</v>
      </c>
      <c r="M87" s="33">
        <v>0.20530000000000001</v>
      </c>
      <c r="N87" s="33">
        <v>1036.3330000000001</v>
      </c>
      <c r="O87" s="33">
        <v>0.27879999999999999</v>
      </c>
      <c r="P87" s="14">
        <f t="shared" si="65"/>
        <v>2.4190000000000058</v>
      </c>
      <c r="Q87" s="14">
        <f t="shared" si="66"/>
        <v>4.1060000000000006E-2</v>
      </c>
      <c r="R87" s="14">
        <f t="shared" si="67"/>
        <v>2.466600000000017</v>
      </c>
      <c r="S87" s="14">
        <f t="shared" si="68"/>
        <v>5.5760000000000004E-2</v>
      </c>
      <c r="T87" s="15">
        <f>19.21
*7.2</f>
        <v>138.31200000000001</v>
      </c>
      <c r="U87" s="8" t="s">
        <v>78</v>
      </c>
      <c r="V87" s="33">
        <v>2.0040000000000001E-3</v>
      </c>
      <c r="W87" s="33">
        <v>2.6480000000000002E-3</v>
      </c>
      <c r="X87" s="33">
        <v>1.526E-3</v>
      </c>
      <c r="Y87" s="33">
        <v>7.5100000000000004E-4</v>
      </c>
      <c r="Z87" s="33">
        <v>2.039E-3</v>
      </c>
      <c r="AA87" s="33">
        <v>101.73242999999999</v>
      </c>
      <c r="AB87" s="33">
        <v>72.282829000000007</v>
      </c>
      <c r="AC87" s="33">
        <v>123.33936300000001</v>
      </c>
      <c r="AD87" s="31">
        <v>4.2870000000000002E-7</v>
      </c>
      <c r="AE87" s="31">
        <v>2.3309999999999999E-5</v>
      </c>
      <c r="AF87" s="31">
        <v>7.6186999999999994E-5</v>
      </c>
      <c r="AG87" s="31">
        <v>-7.1958000000000005E-5</v>
      </c>
    </row>
    <row r="88" spans="2:33" ht="14" x14ac:dyDescent="0.15">
      <c r="B88" s="15">
        <v>10000</v>
      </c>
      <c r="C88" s="31">
        <f t="shared" si="63"/>
        <v>1.2635999999999999E-3</v>
      </c>
      <c r="D88" s="31">
        <f t="shared" si="63"/>
        <v>5.9200000000000002E-5</v>
      </c>
      <c r="E88" s="33" t="s">
        <v>29</v>
      </c>
      <c r="F88" s="31">
        <v>6.0773999999999995E-4</v>
      </c>
      <c r="G88" s="31">
        <v>2.0299999999999999E-5</v>
      </c>
      <c r="H88" s="31">
        <v>1.2635999999999999E-3</v>
      </c>
      <c r="I88" s="31">
        <v>5.9200000000000002E-5</v>
      </c>
      <c r="J88" s="33">
        <v>29.92</v>
      </c>
      <c r="K88" s="19">
        <f t="shared" si="64"/>
        <v>6.9900000000000005E-5</v>
      </c>
      <c r="L88" s="33">
        <v>1012.079</v>
      </c>
      <c r="M88" s="33">
        <v>0.20430000000000001</v>
      </c>
      <c r="N88" s="33">
        <v>1036.346</v>
      </c>
      <c r="O88" s="33">
        <v>0.2828</v>
      </c>
      <c r="P88" s="14">
        <f t="shared" si="65"/>
        <v>2.3842000000000101</v>
      </c>
      <c r="Q88" s="14">
        <f t="shared" si="66"/>
        <v>4.0860000000000007E-2</v>
      </c>
      <c r="R88" s="14">
        <f t="shared" si="67"/>
        <v>2.4692000000000007</v>
      </c>
      <c r="S88" s="14">
        <f t="shared" si="68"/>
        <v>5.6559999999999999E-2</v>
      </c>
      <c r="T88" s="15">
        <f>18.62
*6.8</f>
        <v>126.616</v>
      </c>
      <c r="U88" s="8" t="s">
        <v>77</v>
      </c>
      <c r="V88" s="33">
        <v>2.003E-3</v>
      </c>
      <c r="W88" s="33">
        <v>2.7030000000000001E-3</v>
      </c>
      <c r="X88" s="33">
        <v>1.7279999999999999E-3</v>
      </c>
      <c r="Y88" s="33">
        <v>1.142E-3</v>
      </c>
      <c r="Z88" s="33">
        <v>2.1329999999999999E-3</v>
      </c>
      <c r="AA88" s="33">
        <v>110.84390999999999</v>
      </c>
      <c r="AB88" s="33">
        <v>78.824569999999994</v>
      </c>
      <c r="AC88" s="33">
        <v>139.55317700000001</v>
      </c>
      <c r="AD88" s="31">
        <v>-3.1580000000000001E-7</v>
      </c>
      <c r="AE88" s="31">
        <v>2.3300000000000001E-5</v>
      </c>
      <c r="AF88" s="31">
        <v>7.6186999999999994E-5</v>
      </c>
      <c r="AG88" s="31">
        <v>-6.9067999999999997E-5</v>
      </c>
    </row>
    <row r="89" spans="2:33" ht="14" x14ac:dyDescent="0.15">
      <c r="B89" s="15">
        <v>15000</v>
      </c>
      <c r="C89" s="31">
        <f t="shared" si="63"/>
        <v>1.1838E-3</v>
      </c>
      <c r="D89" s="31">
        <f t="shared" si="63"/>
        <v>5.6900000000000001E-5</v>
      </c>
      <c r="E89" s="33" t="s">
        <v>29</v>
      </c>
      <c r="F89" s="31">
        <v>6.0470000000000001E-4</v>
      </c>
      <c r="G89" s="31">
        <v>2.05E-5</v>
      </c>
      <c r="H89" s="31">
        <v>1.1838E-3</v>
      </c>
      <c r="I89" s="31">
        <v>5.6900000000000001E-5</v>
      </c>
      <c r="J89" s="33">
        <v>29.56</v>
      </c>
      <c r="K89" s="19">
        <f t="shared" si="64"/>
        <v>7.0860000000000009E-5</v>
      </c>
      <c r="L89" s="33">
        <v>1012.295</v>
      </c>
      <c r="M89" s="33">
        <v>0.1986</v>
      </c>
      <c r="N89" s="33">
        <v>1036.432</v>
      </c>
      <c r="O89" s="33">
        <v>0.28260000000000002</v>
      </c>
      <c r="P89" s="14">
        <f t="shared" si="65"/>
        <v>2.3410000000000082</v>
      </c>
      <c r="Q89" s="14">
        <f t="shared" si="66"/>
        <v>3.9720000000000005E-2</v>
      </c>
      <c r="R89" s="14">
        <f t="shared" si="67"/>
        <v>2.4864000000000033</v>
      </c>
      <c r="S89" s="14">
        <f t="shared" si="68"/>
        <v>5.6520000000000008E-2</v>
      </c>
      <c r="T89" s="15">
        <f>18.47
*6.78</f>
        <v>125.22659999999999</v>
      </c>
      <c r="U89" s="8" t="s">
        <v>76</v>
      </c>
      <c r="V89" s="33">
        <v>1.8779999999999999E-3</v>
      </c>
      <c r="W89" s="33">
        <v>2.6340000000000001E-3</v>
      </c>
      <c r="X89" s="33">
        <v>1.596E-3</v>
      </c>
      <c r="Y89" s="33">
        <v>1.016E-3</v>
      </c>
      <c r="Z89" s="33">
        <v>1.957E-3</v>
      </c>
      <c r="AA89" s="33">
        <v>117.77499400000001</v>
      </c>
      <c r="AB89" s="33">
        <v>91.138274999999993</v>
      </c>
      <c r="AC89" s="33">
        <v>147.520813</v>
      </c>
      <c r="AD89" s="31">
        <v>-1.066E-7</v>
      </c>
      <c r="AE89" s="31">
        <v>2.3620000000000001E-5</v>
      </c>
      <c r="AF89" s="31">
        <v>7.6847000000000005E-5</v>
      </c>
      <c r="AG89" s="31">
        <v>-6.7379000000000007E-5</v>
      </c>
    </row>
    <row r="90" spans="2:33" ht="14" x14ac:dyDescent="0.15">
      <c r="B90" s="15">
        <v>20000</v>
      </c>
      <c r="C90" s="31">
        <f t="shared" si="63"/>
        <v>1.0023E-3</v>
      </c>
      <c r="D90" s="31">
        <f t="shared" si="63"/>
        <v>5.4500000000000003E-5</v>
      </c>
      <c r="E90" s="33" t="s">
        <v>29</v>
      </c>
      <c r="F90" s="31">
        <v>5.5677999999999999E-4</v>
      </c>
      <c r="G90" s="31">
        <v>2.0800000000000001E-5</v>
      </c>
      <c r="H90" s="31">
        <v>1.0023E-3</v>
      </c>
      <c r="I90" s="31">
        <v>5.4500000000000003E-5</v>
      </c>
      <c r="J90" s="33">
        <v>26.74</v>
      </c>
      <c r="K90" s="19">
        <f t="shared" si="64"/>
        <v>6.7620000000000006E-5</v>
      </c>
      <c r="L90" s="33">
        <v>1012.3680000000001</v>
      </c>
      <c r="M90" s="33">
        <v>0.19939999999999999</v>
      </c>
      <c r="N90" s="33">
        <v>1036.5350000000001</v>
      </c>
      <c r="O90" s="33">
        <v>0.30499999999999999</v>
      </c>
      <c r="P90" s="14">
        <f t="shared" si="65"/>
        <v>2.3263999999999898</v>
      </c>
      <c r="Q90" s="14">
        <f t="shared" si="66"/>
        <v>3.9879999999999999E-2</v>
      </c>
      <c r="R90" s="14">
        <f t="shared" si="67"/>
        <v>2.5070000000000165</v>
      </c>
      <c r="S90" s="14">
        <f t="shared" si="68"/>
        <v>6.0999999999999999E-2</v>
      </c>
      <c r="T90" s="15">
        <f>17.9
*6.39</f>
        <v>114.38099999999999</v>
      </c>
      <c r="U90" s="8" t="s">
        <v>75</v>
      </c>
      <c r="V90" s="33">
        <v>1.745E-3</v>
      </c>
      <c r="W90" s="33">
        <v>2.604E-3</v>
      </c>
      <c r="X90" s="33">
        <v>1.325E-3</v>
      </c>
      <c r="Y90" s="33">
        <v>7.8799999999999996E-4</v>
      </c>
      <c r="Z90" s="33">
        <v>1.6069999999999999E-3</v>
      </c>
      <c r="AA90" s="33">
        <v>132.02799999999999</v>
      </c>
      <c r="AB90" s="33">
        <v>115.192932</v>
      </c>
      <c r="AC90" s="33">
        <v>153.195663</v>
      </c>
      <c r="AD90" s="31">
        <v>-2.1939999999999999E-7</v>
      </c>
      <c r="AE90" s="31">
        <v>2.2540000000000001E-5</v>
      </c>
      <c r="AF90" s="31">
        <v>7.0125999999999999E-5</v>
      </c>
      <c r="AG90" s="31">
        <v>-8.0074999999999995E-5</v>
      </c>
    </row>
    <row r="91" spans="2:33" ht="14" x14ac:dyDescent="0.15">
      <c r="B91" s="15">
        <v>25000</v>
      </c>
      <c r="C91" s="31">
        <f>H91</f>
        <v>6.3650999999999996E-4</v>
      </c>
      <c r="D91" s="31">
        <f t="shared" si="63"/>
        <v>4.5599999999999997E-5</v>
      </c>
      <c r="E91" s="33" t="s">
        <v>29</v>
      </c>
      <c r="F91" s="31">
        <v>4.9474999999999996E-4</v>
      </c>
      <c r="G91" s="31">
        <v>2.2200000000000001E-5</v>
      </c>
      <c r="H91" s="31">
        <v>6.3650999999999996E-4</v>
      </c>
      <c r="I91" s="31">
        <v>4.5599999999999997E-5</v>
      </c>
      <c r="J91" s="33">
        <v>22.32</v>
      </c>
      <c r="K91" s="19">
        <f t="shared" si="64"/>
        <v>6.8310000000000002E-5</v>
      </c>
      <c r="L91" s="33">
        <v>1013.418</v>
      </c>
      <c r="M91" s="33">
        <v>0.182</v>
      </c>
      <c r="N91" s="33">
        <v>1036.797</v>
      </c>
      <c r="O91" s="33">
        <v>0.34410000000000002</v>
      </c>
      <c r="P91" s="14">
        <f t="shared" si="65"/>
        <v>2.1163999999999987</v>
      </c>
      <c r="Q91" s="14">
        <f t="shared" si="66"/>
        <v>3.6400000000000002E-2</v>
      </c>
      <c r="R91" s="14">
        <f t="shared" si="67"/>
        <v>2.5594000000000054</v>
      </c>
      <c r="S91" s="14">
        <f t="shared" si="68"/>
        <v>6.8820000000000006E-2</v>
      </c>
      <c r="T91" s="15">
        <f>16.95
*5.92</f>
        <v>100.34399999999999</v>
      </c>
      <c r="U91" s="8" t="s">
        <v>74</v>
      </c>
      <c r="V91" s="33">
        <v>1.356E-3</v>
      </c>
      <c r="W91" s="33">
        <v>2.3500000000000001E-3</v>
      </c>
      <c r="X91" s="33">
        <v>4.8999999999999998E-4</v>
      </c>
      <c r="Y91" s="33">
        <v>0</v>
      </c>
      <c r="Z91" s="33">
        <v>7.5500000000000003E-4</v>
      </c>
      <c r="AA91" s="33">
        <v>147.69654800000001</v>
      </c>
      <c r="AB91" s="33">
        <v>138.65803500000001</v>
      </c>
      <c r="AC91" s="33">
        <v>165.939224</v>
      </c>
      <c r="AD91" s="31">
        <v>-6.9040000000000001E-8</v>
      </c>
      <c r="AE91" s="31">
        <v>2.2770000000000001E-5</v>
      </c>
      <c r="AF91" s="31">
        <v>7.8673999999999999E-5</v>
      </c>
      <c r="AG91" s="31">
        <v>-7.5896999999999995E-5</v>
      </c>
    </row>
    <row r="92" spans="2:33" ht="14" x14ac:dyDescent="0.15">
      <c r="B92" s="15">
        <v>30000</v>
      </c>
      <c r="C92" s="31">
        <f t="shared" ref="C92:D93" si="69">F92</f>
        <v>4.2478999999999998E-4</v>
      </c>
      <c r="D92" s="31">
        <f t="shared" si="69"/>
        <v>2.41E-5</v>
      </c>
      <c r="E92" s="33" t="s">
        <v>81</v>
      </c>
      <c r="F92" s="31">
        <v>4.2478999999999998E-4</v>
      </c>
      <c r="G92" s="31">
        <v>2.41E-5</v>
      </c>
      <c r="H92" s="31">
        <v>4.6558E-4</v>
      </c>
      <c r="I92" s="31">
        <v>4.4400000000000002E-5</v>
      </c>
      <c r="J92" s="33">
        <v>17.63</v>
      </c>
      <c r="K92" s="19">
        <f t="shared" si="64"/>
        <v>7.3319999999999996E-5</v>
      </c>
      <c r="L92" s="33">
        <v>1014.707</v>
      </c>
      <c r="M92" s="33">
        <v>0.2029</v>
      </c>
      <c r="N92" s="33">
        <v>1040.0340000000001</v>
      </c>
      <c r="O92" s="33">
        <v>0.45839999999999997</v>
      </c>
      <c r="P92" s="14">
        <f t="shared" si="65"/>
        <v>1.8586000000000014</v>
      </c>
      <c r="Q92" s="14">
        <f t="shared" si="66"/>
        <v>4.0580000000000005E-2</v>
      </c>
      <c r="R92" s="14">
        <f t="shared" si="67"/>
        <v>3.2068000000000212</v>
      </c>
      <c r="S92" s="14">
        <f t="shared" si="68"/>
        <v>9.1679999999999998E-2</v>
      </c>
      <c r="T92" s="15">
        <f>16.8
*5.46</f>
        <v>91.728000000000009</v>
      </c>
      <c r="U92" s="8" t="s">
        <v>73</v>
      </c>
      <c r="V92" s="33">
        <v>1.6479999999999999E-3</v>
      </c>
      <c r="W92" s="33">
        <v>2.7560000000000002E-3</v>
      </c>
      <c r="X92" s="33">
        <v>0</v>
      </c>
      <c r="Y92" s="33">
        <v>0</v>
      </c>
      <c r="Z92" s="33">
        <v>0</v>
      </c>
      <c r="AA92" s="33">
        <v>157.04492200000001</v>
      </c>
      <c r="AB92" s="33">
        <v>152.15626499999999</v>
      </c>
      <c r="AC92" s="33">
        <v>166.07849100000001</v>
      </c>
      <c r="AD92" s="31">
        <v>-1.165E-7</v>
      </c>
      <c r="AE92" s="31">
        <v>2.444E-5</v>
      </c>
      <c r="AF92" s="31">
        <v>8.7670000000000006E-5</v>
      </c>
      <c r="AG92" s="31">
        <v>-7.7556000000000001E-5</v>
      </c>
    </row>
    <row r="93" spans="2:33" ht="14" x14ac:dyDescent="0.15">
      <c r="B93" s="15">
        <v>35000</v>
      </c>
      <c r="C93" s="31">
        <f t="shared" si="69"/>
        <v>4.5481999999999999E-4</v>
      </c>
      <c r="D93" s="31">
        <f t="shared" si="69"/>
        <v>2.4700000000000001E-5</v>
      </c>
      <c r="E93" s="33" t="s">
        <v>81</v>
      </c>
      <c r="F93" s="31">
        <v>4.5481999999999999E-4</v>
      </c>
      <c r="G93" s="31">
        <v>2.4700000000000001E-5</v>
      </c>
      <c r="H93" s="31">
        <v>4.9974000000000004E-4</v>
      </c>
      <c r="I93" s="31">
        <v>4.57E-5</v>
      </c>
      <c r="J93" s="33">
        <v>18.38</v>
      </c>
      <c r="K93" s="19">
        <f t="shared" si="64"/>
        <v>7.695E-5</v>
      </c>
      <c r="L93" s="33">
        <v>1014.982</v>
      </c>
      <c r="M93" s="33">
        <v>0.19159999999999999</v>
      </c>
      <c r="N93" s="33">
        <v>1040.2190000000001</v>
      </c>
      <c r="O93" s="33">
        <v>0.42630000000000001</v>
      </c>
      <c r="P93" s="14">
        <f t="shared" si="65"/>
        <v>1.8036000000000059</v>
      </c>
      <c r="Q93" s="14">
        <f t="shared" si="66"/>
        <v>3.832E-2</v>
      </c>
      <c r="R93" s="14">
        <f t="shared" si="67"/>
        <v>3.2438000000000105</v>
      </c>
      <c r="S93" s="14">
        <f t="shared" si="68"/>
        <v>8.5260000000000002E-2</v>
      </c>
      <c r="T93" s="15">
        <f>16.55
*5.3</f>
        <v>87.715000000000003</v>
      </c>
      <c r="U93" s="8" t="s">
        <v>72</v>
      </c>
      <c r="V93" s="33">
        <v>1.534E-3</v>
      </c>
      <c r="W93" s="33">
        <v>2.6029999999999998E-3</v>
      </c>
      <c r="X93" s="33">
        <v>0</v>
      </c>
      <c r="Y93" s="33">
        <v>0</v>
      </c>
      <c r="Z93" s="33">
        <v>0</v>
      </c>
      <c r="AA93" s="33">
        <v>156.259064</v>
      </c>
      <c r="AB93" s="33">
        <v>151.406418</v>
      </c>
      <c r="AC93" s="33">
        <v>166.174881</v>
      </c>
      <c r="AD93" s="31">
        <v>-1.013E-8</v>
      </c>
      <c r="AE93" s="31">
        <v>2.565E-5</v>
      </c>
      <c r="AF93" s="31">
        <v>9.1116E-5</v>
      </c>
      <c r="AG93" s="31">
        <v>-8.1514999999999995E-5</v>
      </c>
    </row>
    <row r="94" spans="2:33" ht="14" x14ac:dyDescent="0.15">
      <c r="B94" s="15">
        <v>40000</v>
      </c>
      <c r="C94" s="31">
        <f>F94</f>
        <v>4.4831E-4</v>
      </c>
      <c r="D94" s="31">
        <f>G94</f>
        <v>2.5299999999999998E-5</v>
      </c>
      <c r="E94" s="33" t="s">
        <v>30</v>
      </c>
      <c r="F94" s="31">
        <v>4.4831E-4</v>
      </c>
      <c r="G94" s="31">
        <v>2.5299999999999998E-5</v>
      </c>
      <c r="H94" s="31">
        <v>4.2037999999999998E-4</v>
      </c>
      <c r="I94" s="31">
        <v>4.1999999999999998E-5</v>
      </c>
      <c r="J94" s="33">
        <v>17.7</v>
      </c>
      <c r="K94" s="19">
        <f t="shared" si="64"/>
        <v>8.0489999999999997E-5</v>
      </c>
      <c r="L94" s="33">
        <v>1015.86</v>
      </c>
      <c r="M94" s="33">
        <v>0.1706</v>
      </c>
      <c r="N94" s="33">
        <v>1042.779</v>
      </c>
      <c r="O94" s="33">
        <v>0.3896</v>
      </c>
      <c r="P94" s="14">
        <f t="shared" si="65"/>
        <v>1.6279999999999974</v>
      </c>
      <c r="Q94" s="14">
        <f t="shared" si="66"/>
        <v>3.4120000000000004E-2</v>
      </c>
      <c r="R94" s="14">
        <f t="shared" si="67"/>
        <v>3.7557999999999994</v>
      </c>
      <c r="S94" s="14">
        <f t="shared" si="68"/>
        <v>7.7920000000000003E-2</v>
      </c>
      <c r="T94" s="15">
        <f>17.22
*4.92</f>
        <v>84.722399999999993</v>
      </c>
      <c r="U94" s="8" t="s">
        <v>71</v>
      </c>
      <c r="V94" s="33">
        <v>0</v>
      </c>
      <c r="W94" s="33">
        <v>1.284E-3</v>
      </c>
      <c r="X94" s="33">
        <v>0</v>
      </c>
      <c r="Y94" s="33">
        <v>0</v>
      </c>
      <c r="Z94" s="33">
        <v>1.3439999999999999E-3</v>
      </c>
      <c r="AA94" s="33">
        <v>118.782471</v>
      </c>
      <c r="AB94" s="33">
        <v>73.873047</v>
      </c>
      <c r="AC94" s="33">
        <v>161.024384</v>
      </c>
      <c r="AD94" s="31">
        <v>-3.812E-8</v>
      </c>
      <c r="AE94" s="31">
        <v>2.6829999999999999E-5</v>
      </c>
      <c r="AF94" s="31">
        <v>9.0649999999999994E-5</v>
      </c>
      <c r="AG94" s="31">
        <v>-8.8596000000000004E-5</v>
      </c>
    </row>
    <row r="95" spans="2:33" ht="14" x14ac:dyDescent="0.15">
      <c r="B95" s="15">
        <v>45000</v>
      </c>
      <c r="C95" s="31">
        <f t="shared" ref="C95:C102" si="70">F95</f>
        <v>4.3608999999999998E-4</v>
      </c>
      <c r="D95" s="31">
        <f t="shared" ref="D95:D102" si="71">G95</f>
        <v>2.62E-5</v>
      </c>
      <c r="E95" s="33" t="s">
        <v>30</v>
      </c>
      <c r="F95" s="31">
        <v>4.3608999999999998E-4</v>
      </c>
      <c r="G95" s="31">
        <v>2.62E-5</v>
      </c>
      <c r="H95" s="31">
        <v>4.1637E-4</v>
      </c>
      <c r="I95" s="31">
        <v>4.4100000000000001E-5</v>
      </c>
      <c r="J95" s="33">
        <v>16.62</v>
      </c>
      <c r="K95" s="19">
        <f t="shared" si="64"/>
        <v>8.0309999999999995E-5</v>
      </c>
      <c r="L95" s="33">
        <v>1015.753</v>
      </c>
      <c r="M95" s="33">
        <v>0.1759</v>
      </c>
      <c r="N95" s="33">
        <v>1042.3679999999999</v>
      </c>
      <c r="O95" s="33">
        <v>0.441</v>
      </c>
      <c r="P95" s="14">
        <f t="shared" si="65"/>
        <v>1.6493999999999915</v>
      </c>
      <c r="Q95" s="14">
        <f t="shared" si="66"/>
        <v>3.5180000000000003E-2</v>
      </c>
      <c r="R95" s="14">
        <f t="shared" si="67"/>
        <v>3.673599999999988</v>
      </c>
      <c r="S95" s="14">
        <f t="shared" si="68"/>
        <v>8.8200000000000001E-2</v>
      </c>
      <c r="T95" s="15">
        <f>17.44
*4.77</f>
        <v>83.188800000000001</v>
      </c>
      <c r="U95" s="8" t="s">
        <v>70</v>
      </c>
      <c r="V95" s="33">
        <v>0</v>
      </c>
      <c r="W95" s="33">
        <v>1.7780000000000001E-3</v>
      </c>
      <c r="X95" s="33">
        <v>0</v>
      </c>
      <c r="Y95" s="33">
        <v>0</v>
      </c>
      <c r="Z95" s="33">
        <v>0</v>
      </c>
      <c r="AA95" s="33">
        <v>178.896118</v>
      </c>
      <c r="AB95" s="33">
        <v>166.82910200000001</v>
      </c>
      <c r="AC95" s="33">
        <v>43.688217000000002</v>
      </c>
      <c r="AD95" s="31">
        <v>7.5059999999999998E-8</v>
      </c>
      <c r="AE95" s="31">
        <v>2.6769999999999999E-5</v>
      </c>
      <c r="AF95" s="31">
        <v>1.0127E-4</v>
      </c>
      <c r="AG95" s="31">
        <v>-1.0253E-4</v>
      </c>
    </row>
    <row r="96" spans="2:33" ht="14" x14ac:dyDescent="0.15">
      <c r="B96" s="14">
        <v>50000</v>
      </c>
      <c r="C96" s="31">
        <f t="shared" si="70"/>
        <v>3.4183E-4</v>
      </c>
      <c r="D96" s="31">
        <f t="shared" si="71"/>
        <v>2.8099999999999999E-5</v>
      </c>
      <c r="E96" s="33" t="s">
        <v>81</v>
      </c>
      <c r="F96" s="31">
        <v>3.4183E-4</v>
      </c>
      <c r="G96" s="31">
        <v>2.8099999999999999E-5</v>
      </c>
      <c r="H96" s="31">
        <v>3.4074000000000002E-4</v>
      </c>
      <c r="I96" s="31">
        <v>4.8600000000000002E-5</v>
      </c>
      <c r="J96" s="33">
        <v>12.15</v>
      </c>
      <c r="K96" s="19">
        <f t="shared" si="64"/>
        <v>8.5409999999999997E-5</v>
      </c>
      <c r="L96" s="33">
        <v>1015.8440000000001</v>
      </c>
      <c r="M96" s="33">
        <v>0.24510000000000001</v>
      </c>
      <c r="N96" s="33">
        <v>1042.605</v>
      </c>
      <c r="O96" s="33">
        <v>0.67349999999999999</v>
      </c>
      <c r="P96" s="14">
        <f t="shared" si="65"/>
        <v>1.63119999999999</v>
      </c>
      <c r="Q96" s="14">
        <f t="shared" si="66"/>
        <v>4.9020000000000008E-2</v>
      </c>
      <c r="R96" s="14">
        <f t="shared" si="67"/>
        <v>3.7210000000000036</v>
      </c>
      <c r="S96" s="14">
        <f t="shared" si="68"/>
        <v>0.13470000000000001</v>
      </c>
      <c r="T96" s="15">
        <f>17.81
*4.41</f>
        <v>78.542099999999991</v>
      </c>
      <c r="U96" s="8" t="s">
        <v>69</v>
      </c>
      <c r="V96" s="33">
        <v>5.04E-4</v>
      </c>
      <c r="W96" s="33">
        <v>2.6949999999999999E-3</v>
      </c>
      <c r="X96" s="33">
        <v>0</v>
      </c>
      <c r="Y96" s="33">
        <v>0</v>
      </c>
      <c r="Z96" s="33">
        <v>0</v>
      </c>
      <c r="AA96" s="33">
        <v>166.97676100000001</v>
      </c>
      <c r="AB96" s="33">
        <v>131.97444200000001</v>
      </c>
      <c r="AC96" s="33">
        <v>9.5360259999999997</v>
      </c>
      <c r="AD96" s="31">
        <v>-1.5870000000000001E-7</v>
      </c>
      <c r="AE96" s="31">
        <v>2.847E-5</v>
      </c>
      <c r="AF96" s="31">
        <v>1.0302999999999999E-4</v>
      </c>
      <c r="AG96" s="31">
        <v>-9.8431999999999995E-5</v>
      </c>
    </row>
    <row r="97" spans="2:33" ht="14" x14ac:dyDescent="0.15">
      <c r="B97" s="15">
        <v>55000</v>
      </c>
      <c r="C97" s="31">
        <f t="shared" si="70"/>
        <v>3.0904000000000001E-4</v>
      </c>
      <c r="D97" s="31">
        <f t="shared" si="71"/>
        <v>2.8900000000000001E-5</v>
      </c>
      <c r="E97" s="33" t="s">
        <v>81</v>
      </c>
      <c r="F97" s="31">
        <v>3.0904000000000001E-4</v>
      </c>
      <c r="G97" s="31">
        <v>2.8900000000000001E-5</v>
      </c>
      <c r="H97" s="31">
        <v>3.5582000000000002E-4</v>
      </c>
      <c r="I97" s="31">
        <v>5.5099999999999998E-5</v>
      </c>
      <c r="J97" s="33">
        <v>10.68</v>
      </c>
      <c r="K97" s="19">
        <f t="shared" si="64"/>
        <v>8.6639999999999997E-5</v>
      </c>
      <c r="L97" s="33">
        <v>1015.592</v>
      </c>
      <c r="M97" s="33">
        <v>0.30930000000000002</v>
      </c>
      <c r="N97" s="33">
        <v>1041.367</v>
      </c>
      <c r="O97" s="33">
        <v>0.88729999999999998</v>
      </c>
      <c r="P97" s="14">
        <f t="shared" si="65"/>
        <v>1.6816000000000031</v>
      </c>
      <c r="Q97" s="14">
        <f t="shared" si="66"/>
        <v>6.1860000000000005E-2</v>
      </c>
      <c r="R97" s="14">
        <f t="shared" si="67"/>
        <v>3.4733999999999927</v>
      </c>
      <c r="S97" s="14">
        <f t="shared" si="68"/>
        <v>0.17746000000000001</v>
      </c>
      <c r="T97" s="15">
        <f>17.58
*4.37</f>
        <v>76.82459999999999</v>
      </c>
      <c r="U97" s="8">
        <v>3.0690000000000001E-3</v>
      </c>
      <c r="V97" s="33">
        <v>2.1059999999999998E-3</v>
      </c>
      <c r="W97" s="33">
        <v>3.8830000000000002E-3</v>
      </c>
      <c r="X97" s="33">
        <v>0</v>
      </c>
      <c r="Y97" s="33">
        <v>0</v>
      </c>
      <c r="Z97" s="33">
        <v>0</v>
      </c>
      <c r="AA97" s="33">
        <v>164.10462999999999</v>
      </c>
      <c r="AB97" s="33">
        <v>156.95088200000001</v>
      </c>
      <c r="AC97" s="33">
        <v>168.55929599999999</v>
      </c>
      <c r="AD97" s="31">
        <v>-4.3610000000000001E-9</v>
      </c>
      <c r="AE97" s="31">
        <v>2.8880000000000001E-5</v>
      </c>
      <c r="AF97" s="31">
        <v>1.0237E-4</v>
      </c>
      <c r="AG97" s="31">
        <v>-1.0286E-4</v>
      </c>
    </row>
    <row r="98" spans="2:33" ht="14" x14ac:dyDescent="0.15">
      <c r="B98" s="15">
        <v>60000</v>
      </c>
      <c r="C98" s="31">
        <f t="shared" si="70"/>
        <v>2.3531999999999999E-4</v>
      </c>
      <c r="D98" s="31">
        <f t="shared" si="71"/>
        <v>3.3599999999999997E-5</v>
      </c>
      <c r="E98" s="33" t="s">
        <v>30</v>
      </c>
      <c r="F98" s="31">
        <v>2.3531999999999999E-4</v>
      </c>
      <c r="G98" s="31">
        <v>3.3599999999999997E-5</v>
      </c>
      <c r="H98" s="31">
        <v>2.2608E-4</v>
      </c>
      <c r="I98" s="31">
        <v>7.1299999999999998E-5</v>
      </c>
      <c r="J98" s="33">
        <v>6.99</v>
      </c>
      <c r="K98" s="19">
        <f t="shared" si="64"/>
        <v>8.8049999999999999E-5</v>
      </c>
      <c r="L98" s="33">
        <v>1016.641</v>
      </c>
      <c r="M98" s="33">
        <v>0.38779999999999998</v>
      </c>
      <c r="N98" s="33">
        <v>1043.5329999999999</v>
      </c>
      <c r="O98" s="33">
        <v>1.3727</v>
      </c>
      <c r="P98" s="14">
        <f t="shared" si="65"/>
        <v>1.4718000000000075</v>
      </c>
      <c r="Q98" s="14">
        <f t="shared" si="66"/>
        <v>7.7560000000000004E-2</v>
      </c>
      <c r="R98" s="14">
        <f t="shared" si="67"/>
        <v>3.9065999999999805</v>
      </c>
      <c r="S98" s="14">
        <f t="shared" si="68"/>
        <v>0.27454000000000001</v>
      </c>
      <c r="T98" s="15">
        <f>16.98
*4.18</f>
        <v>70.976399999999998</v>
      </c>
      <c r="U98" s="33">
        <v>0</v>
      </c>
      <c r="V98" s="33">
        <v>0</v>
      </c>
      <c r="W98" s="33">
        <v>1.194E-3</v>
      </c>
      <c r="X98" s="33">
        <v>0</v>
      </c>
      <c r="Y98" s="33">
        <v>0</v>
      </c>
      <c r="Z98" s="34">
        <v>4.0499999999999998E-4</v>
      </c>
      <c r="AA98" s="33">
        <v>0</v>
      </c>
      <c r="AB98" s="33">
        <v>0</v>
      </c>
      <c r="AC98" s="8">
        <v>173.311172</v>
      </c>
      <c r="AD98" s="31">
        <v>-3.368E-7</v>
      </c>
      <c r="AE98" s="31">
        <v>2.9349999999999999E-5</v>
      </c>
      <c r="AF98" s="31">
        <v>1.0669E-4</v>
      </c>
      <c r="AG98" s="31">
        <v>-1.0867E-4</v>
      </c>
    </row>
    <row r="99" spans="2:33" x14ac:dyDescent="0.15">
      <c r="B99" s="15">
        <v>65000</v>
      </c>
      <c r="C99" s="31">
        <f t="shared" si="70"/>
        <v>2.3135000000000001E-4</v>
      </c>
      <c r="D99" s="31">
        <f t="shared" si="71"/>
        <v>3.2400000000000001E-5</v>
      </c>
      <c r="E99" s="33" t="s">
        <v>30</v>
      </c>
      <c r="F99" s="31">
        <v>2.3135000000000001E-4</v>
      </c>
      <c r="G99" s="31">
        <v>3.2400000000000001E-5</v>
      </c>
      <c r="H99" s="31">
        <v>2.3037000000000001E-4</v>
      </c>
      <c r="I99" s="31">
        <v>5.5999999999999999E-5</v>
      </c>
      <c r="J99" s="33">
        <v>7.14</v>
      </c>
      <c r="K99" s="19">
        <f t="shared" si="64"/>
        <v>9.9419999999999993E-5</v>
      </c>
      <c r="L99" s="33">
        <v>1002.364</v>
      </c>
      <c r="M99" s="33">
        <v>0.38450000000000001</v>
      </c>
      <c r="N99" s="33">
        <v>1044.6020000000001</v>
      </c>
      <c r="O99" s="33">
        <v>0.92920000000000003</v>
      </c>
      <c r="P99" s="14">
        <f t="shared" si="65"/>
        <v>4.3271999999999933</v>
      </c>
      <c r="Q99" s="14">
        <f t="shared" si="66"/>
        <v>7.690000000000001E-2</v>
      </c>
      <c r="R99" s="14">
        <f t="shared" si="67"/>
        <v>4.1204000000000178</v>
      </c>
      <c r="S99" s="14">
        <f t="shared" si="68"/>
        <v>0.18584000000000001</v>
      </c>
      <c r="T99" s="15">
        <f>16.26
*3.93</f>
        <v>63.901800000000009</v>
      </c>
      <c r="U99" s="33">
        <v>5.44E-4</v>
      </c>
      <c r="V99" s="33">
        <v>0</v>
      </c>
      <c r="W99" s="33">
        <v>2.176E-3</v>
      </c>
      <c r="X99" s="33">
        <v>0</v>
      </c>
      <c r="Y99" s="33">
        <v>0</v>
      </c>
      <c r="Z99" s="33">
        <v>8.7000000000000001E-4</v>
      </c>
      <c r="AA99" s="33">
        <v>1.4178839999999999</v>
      </c>
      <c r="AB99" s="33">
        <v>147.046143</v>
      </c>
      <c r="AC99" s="33">
        <v>32.062908</v>
      </c>
      <c r="AD99" s="31">
        <v>1.9749999999999999E-7</v>
      </c>
      <c r="AE99" s="31">
        <v>3.3139999999999998E-5</v>
      </c>
      <c r="AF99" s="31">
        <v>1.0974E-4</v>
      </c>
      <c r="AG99" s="31">
        <v>-1.2079E-4</v>
      </c>
    </row>
    <row r="100" spans="2:33" x14ac:dyDescent="0.15">
      <c r="B100" s="14">
        <v>70000</v>
      </c>
      <c r="C100" s="31">
        <f t="shared" si="70"/>
        <v>3.2822E-4</v>
      </c>
      <c r="D100" s="31">
        <f t="shared" si="71"/>
        <v>3.4700000000000003E-5</v>
      </c>
      <c r="E100" s="33" t="s">
        <v>81</v>
      </c>
      <c r="F100" s="31">
        <v>3.2822E-4</v>
      </c>
      <c r="G100" s="31">
        <v>3.4700000000000003E-5</v>
      </c>
      <c r="H100" s="31">
        <v>3.6927999999999999E-4</v>
      </c>
      <c r="I100" s="31">
        <v>6.5099999999999997E-5</v>
      </c>
      <c r="J100" s="33">
        <v>9.4499999999999993</v>
      </c>
      <c r="K100" s="19">
        <f t="shared" si="64"/>
        <v>1.0791000000000002E-4</v>
      </c>
      <c r="L100" s="33">
        <v>1014.284</v>
      </c>
      <c r="M100" s="33">
        <v>0.2949</v>
      </c>
      <c r="N100" s="33">
        <v>1037.723</v>
      </c>
      <c r="O100" s="33">
        <v>0.84650000000000003</v>
      </c>
      <c r="P100" s="14">
        <f t="shared" si="65"/>
        <v>1.9432000000000018</v>
      </c>
      <c r="Q100" s="14">
        <f t="shared" si="66"/>
        <v>5.8980000000000005E-2</v>
      </c>
      <c r="R100" s="14">
        <f t="shared" si="67"/>
        <v>2.7445999999999913</v>
      </c>
      <c r="S100" s="14">
        <f t="shared" si="68"/>
        <v>0.16930000000000001</v>
      </c>
      <c r="T100" s="15">
        <f>15.75
*3.86</f>
        <v>60.794999999999995</v>
      </c>
      <c r="U100" s="33">
        <v>2.3600000000000001E-3</v>
      </c>
      <c r="V100" s="33">
        <v>1.2509999999999999E-3</v>
      </c>
      <c r="W100" s="33">
        <v>3.1900000000000001E-3</v>
      </c>
      <c r="X100" s="33">
        <v>0</v>
      </c>
      <c r="Y100" s="33">
        <v>0</v>
      </c>
      <c r="Z100" s="33">
        <v>1.6799999999999999E-4</v>
      </c>
      <c r="AA100" s="33">
        <v>167.88752700000001</v>
      </c>
      <c r="AB100" s="33">
        <v>148.67027300000001</v>
      </c>
      <c r="AC100" s="33">
        <v>173.82074</v>
      </c>
      <c r="AD100" s="31">
        <v>9.3410000000000001E-8</v>
      </c>
      <c r="AE100" s="31">
        <v>3.5970000000000003E-5</v>
      </c>
      <c r="AF100" s="31">
        <v>1.1938E-4</v>
      </c>
      <c r="AG100" s="31">
        <v>-1.2548999999999999E-4</v>
      </c>
    </row>
    <row r="101" spans="2:33" x14ac:dyDescent="0.15">
      <c r="B101" s="15">
        <v>75000</v>
      </c>
      <c r="C101" s="31">
        <f t="shared" si="70"/>
        <v>3.165E-4</v>
      </c>
      <c r="D101" s="31">
        <f t="shared" si="71"/>
        <v>3.6399999999999997E-5</v>
      </c>
      <c r="E101" s="33" t="s">
        <v>81</v>
      </c>
      <c r="F101" s="31">
        <v>3.165E-4</v>
      </c>
      <c r="G101" s="31">
        <v>3.6399999999999997E-5</v>
      </c>
      <c r="H101" s="31">
        <v>3.8074000000000002E-4</v>
      </c>
      <c r="I101" s="31">
        <v>7.1500000000000003E-5</v>
      </c>
      <c r="J101" s="33">
        <v>8.69</v>
      </c>
      <c r="K101" s="19">
        <f t="shared" si="64"/>
        <v>1.1814E-4</v>
      </c>
      <c r="L101" s="33">
        <v>1015.27</v>
      </c>
      <c r="M101" s="33">
        <v>0.31780000000000003</v>
      </c>
      <c r="N101" s="33">
        <v>1042.4179999999999</v>
      </c>
      <c r="O101" s="33">
        <v>0.97760000000000002</v>
      </c>
      <c r="P101" s="14">
        <f t="shared" si="65"/>
        <v>1.7460000000000038</v>
      </c>
      <c r="Q101" s="14">
        <f t="shared" si="66"/>
        <v>6.3560000000000005E-2</v>
      </c>
      <c r="R101" s="14">
        <f t="shared" si="67"/>
        <v>3.6835999999999789</v>
      </c>
      <c r="S101" s="14">
        <f t="shared" si="68"/>
        <v>0.19552000000000003</v>
      </c>
      <c r="T101" s="15">
        <f>16.03
*3.72</f>
        <v>59.631600000000006</v>
      </c>
      <c r="U101" s="33">
        <v>2.6489999999999999E-3</v>
      </c>
      <c r="V101" s="33">
        <v>1.482E-3</v>
      </c>
      <c r="W101" s="33">
        <v>3.5530000000000002E-3</v>
      </c>
      <c r="X101" s="33">
        <v>0</v>
      </c>
      <c r="Y101" s="33">
        <v>0</v>
      </c>
      <c r="Z101" s="33">
        <v>2.5999999999999998E-4</v>
      </c>
      <c r="AA101" s="33">
        <v>169.196136</v>
      </c>
      <c r="AB101" s="33">
        <v>151.995148</v>
      </c>
      <c r="AC101" s="33">
        <v>174.967377</v>
      </c>
      <c r="AD101" s="31">
        <v>-1.311E-7</v>
      </c>
      <c r="AE101" s="31">
        <v>3.9379999999999999E-5</v>
      </c>
      <c r="AF101" s="31">
        <v>1.3305000000000001E-4</v>
      </c>
      <c r="AG101" s="31">
        <v>-1.3875000000000001E-4</v>
      </c>
    </row>
    <row r="102" spans="2:33" x14ac:dyDescent="0.15">
      <c r="B102" s="15">
        <v>80000</v>
      </c>
      <c r="C102" s="31">
        <f t="shared" si="70"/>
        <v>2.8130000000000001E-4</v>
      </c>
      <c r="D102" s="31">
        <f t="shared" si="71"/>
        <v>4.3000000000000002E-5</v>
      </c>
      <c r="E102" s="33" t="s">
        <v>30</v>
      </c>
      <c r="F102" s="31">
        <v>2.8130000000000001E-4</v>
      </c>
      <c r="G102" s="31">
        <v>4.3000000000000002E-5</v>
      </c>
      <c r="H102" s="31">
        <v>3.1922E-4</v>
      </c>
      <c r="I102" s="31">
        <v>8.1100000000000006E-5</v>
      </c>
      <c r="J102" s="33">
        <v>6.54</v>
      </c>
      <c r="K102" s="19">
        <f t="shared" si="64"/>
        <v>1.4118E-4</v>
      </c>
      <c r="L102" s="33">
        <v>1015.682</v>
      </c>
      <c r="M102" s="33">
        <v>0.37459999999999999</v>
      </c>
      <c r="N102" s="33">
        <v>1043.0440000000001</v>
      </c>
      <c r="O102" s="33">
        <v>1.0704</v>
      </c>
      <c r="P102" s="14">
        <f>(L102-1024)*(-0.2)</f>
        <v>1.6635999999999969</v>
      </c>
      <c r="Q102" s="14">
        <f>M102*0.2</f>
        <v>7.492E-2</v>
      </c>
      <c r="R102" s="14">
        <f>(N102-1024)*(0.2)</f>
        <v>3.8088000000000193</v>
      </c>
      <c r="S102" s="14">
        <f>O102*0.2</f>
        <v>0.21408000000000002</v>
      </c>
      <c r="T102" s="15">
        <f>14.53
*3.46</f>
        <v>50.273799999999994</v>
      </c>
      <c r="U102" s="33">
        <v>1.8619999999999999E-3</v>
      </c>
      <c r="V102" s="33">
        <v>0</v>
      </c>
      <c r="W102" s="33">
        <v>2.954E-3</v>
      </c>
      <c r="X102" s="33">
        <v>0</v>
      </c>
      <c r="Y102" s="33">
        <v>0</v>
      </c>
      <c r="Z102" s="33">
        <v>7.1299999999999998E-4</v>
      </c>
      <c r="AA102" s="33">
        <v>173.10798600000001</v>
      </c>
      <c r="AB102" s="33">
        <v>128.439087</v>
      </c>
      <c r="AC102" s="33">
        <v>36.354416000000001</v>
      </c>
      <c r="AD102" s="31">
        <v>-1.4030000000000001E-7</v>
      </c>
      <c r="AE102" s="31">
        <v>4.706E-5</v>
      </c>
      <c r="AF102" s="31">
        <v>1.7558999999999999E-4</v>
      </c>
      <c r="AG102" s="31">
        <v>-1.6250999999999999E-4</v>
      </c>
    </row>
    <row r="103" spans="2:33" x14ac:dyDescent="0.15">
      <c r="B103" s="15">
        <v>85000</v>
      </c>
      <c r="C103" s="31">
        <f>3*AE103</f>
        <v>1.6335000000000001E-4</v>
      </c>
      <c r="D103" s="31">
        <v>0</v>
      </c>
      <c r="E103" s="6" t="s">
        <v>40</v>
      </c>
      <c r="F103" s="31">
        <v>-1.7981E-4</v>
      </c>
      <c r="G103" s="31">
        <v>5.0399999999999999E-5</v>
      </c>
      <c r="H103" s="31">
        <v>-2.1050999999999999E-4</v>
      </c>
      <c r="I103" s="31">
        <v>9.7100000000000002E-5</v>
      </c>
      <c r="J103" s="33">
        <v>-3.57</v>
      </c>
      <c r="K103" s="19">
        <f t="shared" si="64"/>
        <v>1.6335000000000001E-4</v>
      </c>
      <c r="L103" s="33">
        <v>1020.712</v>
      </c>
      <c r="M103" s="33">
        <v>0.70409999999999995</v>
      </c>
      <c r="N103" s="33">
        <v>1040.5709999999999</v>
      </c>
      <c r="O103" s="33">
        <v>1.9132</v>
      </c>
      <c r="P103" s="14">
        <f>(L103-1024)*(-0.2)</f>
        <v>0.65760000000000218</v>
      </c>
      <c r="Q103" s="14">
        <f>M103*0.2</f>
        <v>0.14082</v>
      </c>
      <c r="R103" s="14">
        <f>(N103-1024)*(0.2)</f>
        <v>3.3141999999999827</v>
      </c>
      <c r="S103" s="14">
        <f>O103*0.2</f>
        <v>0.38264000000000004</v>
      </c>
      <c r="T103" s="14">
        <f>13.73
*3.22</f>
        <v>44.210600000000007</v>
      </c>
      <c r="U103" s="33">
        <v>1.983E-3</v>
      </c>
      <c r="V103" s="33">
        <v>0</v>
      </c>
      <c r="W103" s="33">
        <v>3.7309999999999999E-3</v>
      </c>
      <c r="X103" s="33">
        <v>0</v>
      </c>
      <c r="Y103" s="33">
        <v>0</v>
      </c>
      <c r="Z103" s="33">
        <v>5.3499999999999999E-4</v>
      </c>
      <c r="AA103" s="33">
        <v>170.289062</v>
      </c>
      <c r="AB103" s="33">
        <v>156.76074199999999</v>
      </c>
      <c r="AC103" s="33">
        <v>16.610610999999999</v>
      </c>
      <c r="AD103" s="31">
        <v>8.5440000000000003E-8</v>
      </c>
      <c r="AE103" s="31">
        <v>5.4450000000000002E-5</v>
      </c>
      <c r="AF103" s="31">
        <v>2.4900999999999998E-4</v>
      </c>
      <c r="AG103" s="31">
        <v>-2.3863000000000001E-4</v>
      </c>
    </row>
    <row r="104" spans="2:33" x14ac:dyDescent="0.15">
      <c r="E104" s="20"/>
      <c r="F104" s="19"/>
      <c r="G104" s="19"/>
      <c r="H104" s="19"/>
      <c r="I104" s="19"/>
      <c r="T104" s="14" t="s">
        <v>68</v>
      </c>
    </row>
    <row r="105" spans="2:33" x14ac:dyDescent="0.15"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spans="2:33" x14ac:dyDescent="0.15">
      <c r="E106" s="20"/>
      <c r="F106" s="19"/>
      <c r="G106" s="19"/>
      <c r="H106" s="19"/>
      <c r="I106" s="19"/>
    </row>
    <row r="107" spans="2:33" x14ac:dyDescent="0.15"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</row>
    <row r="108" spans="2:33" x14ac:dyDescent="0.15">
      <c r="C108" s="32"/>
      <c r="D108" s="31"/>
      <c r="E108" s="31"/>
      <c r="F108" s="31"/>
      <c r="G108" s="31"/>
      <c r="H108" s="33"/>
      <c r="I108" s="33"/>
      <c r="J108" s="33"/>
      <c r="K108" s="33"/>
      <c r="L108" s="33"/>
      <c r="M108" s="33"/>
    </row>
    <row r="109" spans="2:33" x14ac:dyDescent="0.15">
      <c r="C109" s="32"/>
      <c r="D109" s="31"/>
      <c r="E109" s="31"/>
      <c r="F109" s="31"/>
      <c r="G109" s="31"/>
      <c r="H109" s="33"/>
      <c r="I109" s="33"/>
      <c r="J109" s="33"/>
      <c r="K109" s="33"/>
      <c r="L109" s="15"/>
      <c r="M109" s="15"/>
      <c r="N109" s="37"/>
      <c r="O109" s="37"/>
    </row>
    <row r="110" spans="2:33" x14ac:dyDescent="0.15">
      <c r="C110" s="32"/>
      <c r="D110" s="31"/>
      <c r="E110" s="31"/>
      <c r="F110" s="31"/>
      <c r="G110" s="31"/>
      <c r="H110" s="33"/>
      <c r="I110" s="33"/>
      <c r="J110" s="33"/>
      <c r="K110" s="33"/>
    </row>
    <row r="111" spans="2:33" x14ac:dyDescent="0.15">
      <c r="C111" s="32"/>
      <c r="D111" s="31"/>
      <c r="E111" s="31"/>
      <c r="F111" s="31"/>
      <c r="G111" s="31"/>
      <c r="H111" s="33"/>
      <c r="I111" s="33"/>
      <c r="J111" s="33"/>
      <c r="K111" s="33"/>
    </row>
    <row r="112" spans="2:33" x14ac:dyDescent="0.15">
      <c r="C112" s="32"/>
      <c r="D112" s="31"/>
      <c r="E112" s="31"/>
      <c r="F112" s="31"/>
      <c r="G112" s="31"/>
      <c r="H112" s="33"/>
      <c r="I112" s="33"/>
      <c r="J112" s="33"/>
      <c r="K112" s="33"/>
      <c r="U112" s="14" t="s">
        <v>93</v>
      </c>
      <c r="V112" s="14" t="s">
        <v>95</v>
      </c>
      <c r="W112" s="14" t="s">
        <v>94</v>
      </c>
      <c r="X112" s="14" t="s">
        <v>96</v>
      </c>
      <c r="Y112" s="14" t="s">
        <v>104</v>
      </c>
      <c r="Z112" s="14" t="s">
        <v>92</v>
      </c>
      <c r="AB112" s="14" t="s">
        <v>105</v>
      </c>
      <c r="AC112" s="14" t="s">
        <v>106</v>
      </c>
    </row>
    <row r="113" spans="3:29" ht="14" x14ac:dyDescent="0.15">
      <c r="C113" s="32"/>
      <c r="D113" s="31"/>
      <c r="E113" s="31"/>
      <c r="F113" s="31"/>
      <c r="G113" s="31"/>
      <c r="H113" s="33"/>
      <c r="I113" s="33"/>
      <c r="J113" s="33"/>
      <c r="K113" s="33"/>
      <c r="L113" s="15"/>
      <c r="T113" s="14" t="s">
        <v>97</v>
      </c>
      <c r="U113" s="14">
        <v>1.821199999999999</v>
      </c>
      <c r="V113" s="14">
        <v>-3.5516000000000076</v>
      </c>
      <c r="W113" s="14">
        <v>6.1281999999999925</v>
      </c>
      <c r="X113" s="14">
        <v>-4.4599999999991272E-2</v>
      </c>
      <c r="Y113" s="14">
        <f>SQRT((W113-U113)^2+(X113-V113)^2)</f>
        <v>5.5542144359036101</v>
      </c>
      <c r="Z113" s="8">
        <f>0.008556*1000</f>
        <v>8.5559999999999992</v>
      </c>
      <c r="AA113" s="14" t="s">
        <v>97</v>
      </c>
      <c r="AB113" s="14">
        <f t="shared" ref="AB113:AB119" si="72">ATAN(Z113/Y113)</f>
        <v>0.99501172118624615</v>
      </c>
      <c r="AC113" s="14">
        <f>AB113*180/PI()</f>
        <v>57.009972190019695</v>
      </c>
    </row>
    <row r="114" spans="3:29" x14ac:dyDescent="0.15">
      <c r="C114" s="32"/>
      <c r="D114" s="31"/>
      <c r="E114" s="31"/>
      <c r="F114" s="31"/>
      <c r="G114" s="31"/>
      <c r="H114" s="33"/>
      <c r="I114" s="33"/>
      <c r="J114" s="33"/>
      <c r="T114" s="14" t="s">
        <v>98</v>
      </c>
      <c r="U114" s="14">
        <v>7.4291999999999918</v>
      </c>
      <c r="V114" s="14">
        <v>-10.726999999999999</v>
      </c>
      <c r="W114" s="14">
        <v>8.1144000000000016</v>
      </c>
      <c r="X114" s="14">
        <v>-9.4799999999999951</v>
      </c>
      <c r="Y114" s="14">
        <f t="shared" ref="Y114:Y119" si="73">SQRT((W114-U114)^2+(X114-V114)^2)</f>
        <v>1.4228520794516983</v>
      </c>
      <c r="Z114" s="14">
        <f>1000*0.007399</f>
        <v>7.399</v>
      </c>
      <c r="AA114" s="14" t="s">
        <v>98</v>
      </c>
      <c r="AB114" s="14">
        <f t="shared" si="72"/>
        <v>1.380812279397674</v>
      </c>
      <c r="AC114" s="14">
        <f t="shared" ref="AC114:AC119" si="74">AB114*180/PI()</f>
        <v>79.114715909325753</v>
      </c>
    </row>
    <row r="115" spans="3:29" x14ac:dyDescent="0.15">
      <c r="C115" s="32"/>
      <c r="D115" s="31"/>
      <c r="E115" s="31"/>
      <c r="F115" s="31"/>
      <c r="G115" s="31"/>
      <c r="H115" s="33"/>
      <c r="I115" s="33"/>
      <c r="J115" s="33"/>
      <c r="T115" s="14" t="s">
        <v>99</v>
      </c>
      <c r="U115" s="14">
        <v>-2.3898000000000139</v>
      </c>
      <c r="V115" s="14">
        <v>1.5519999999999983</v>
      </c>
      <c r="W115" s="14">
        <v>10.613799999999992</v>
      </c>
      <c r="X115" s="14">
        <v>-2.7041999999999917</v>
      </c>
      <c r="Y115" s="14">
        <f t="shared" si="73"/>
        <v>13.682428563672461</v>
      </c>
      <c r="Z115" s="14">
        <f>1000*0.001091</f>
        <v>1.091</v>
      </c>
      <c r="AA115" s="14" t="s">
        <v>99</v>
      </c>
      <c r="AB115" s="14">
        <f t="shared" si="72"/>
        <v>7.9568957310979335E-2</v>
      </c>
      <c r="AC115" s="14">
        <f t="shared" si="74"/>
        <v>4.5589654341757315</v>
      </c>
    </row>
    <row r="116" spans="3:29" x14ac:dyDescent="0.15">
      <c r="C116" s="32"/>
      <c r="D116" s="31"/>
      <c r="E116" s="31"/>
      <c r="F116" s="31"/>
      <c r="G116" s="31"/>
      <c r="H116" s="33"/>
      <c r="I116" s="33"/>
      <c r="J116" s="33"/>
      <c r="T116" s="14" t="s">
        <v>100</v>
      </c>
      <c r="U116" s="14">
        <v>-2.1929999999999836</v>
      </c>
      <c r="V116" s="14">
        <v>-2.3243999999999914</v>
      </c>
      <c r="W116" s="14">
        <v>-1.2885999999999969</v>
      </c>
      <c r="X116" s="14">
        <v>-6.0779999999999976</v>
      </c>
      <c r="Y116" s="14">
        <f t="shared" si="73"/>
        <v>3.8610170059195572</v>
      </c>
      <c r="Z116" s="14">
        <f>1000*0.012941</f>
        <v>12.940999999999999</v>
      </c>
      <c r="AA116" s="14" t="s">
        <v>100</v>
      </c>
      <c r="AB116" s="14">
        <f t="shared" si="72"/>
        <v>1.2808490377686541</v>
      </c>
      <c r="AC116" s="14">
        <f t="shared" si="74"/>
        <v>73.387244057536449</v>
      </c>
    </row>
    <row r="117" spans="3:29" x14ac:dyDescent="0.15">
      <c r="C117" s="32"/>
      <c r="D117" s="31"/>
      <c r="E117" s="31"/>
      <c r="F117" s="31"/>
      <c r="G117" s="31"/>
      <c r="H117" s="33"/>
      <c r="I117" s="33"/>
      <c r="J117" s="33"/>
      <c r="T117" s="14" t="s">
        <v>101</v>
      </c>
      <c r="U117" s="14">
        <v>-6.5284000000000111</v>
      </c>
      <c r="V117" s="14">
        <v>-11.321199999999999</v>
      </c>
      <c r="W117" s="14">
        <v>-6.7684000000000202</v>
      </c>
      <c r="X117" s="14">
        <v>-10.886799999999994</v>
      </c>
      <c r="Y117" s="14">
        <f t="shared" si="73"/>
        <v>0.49628959287900559</v>
      </c>
      <c r="Z117" s="14">
        <f>1000*0.00229</f>
        <v>2.29</v>
      </c>
      <c r="AA117" s="14" t="s">
        <v>101</v>
      </c>
      <c r="AB117" s="14">
        <f t="shared" si="72"/>
        <v>1.3573764126079566</v>
      </c>
      <c r="AC117" s="14">
        <f t="shared" si="74"/>
        <v>77.771939653044129</v>
      </c>
    </row>
    <row r="118" spans="3:29" x14ac:dyDescent="0.15">
      <c r="C118" s="32"/>
      <c r="D118" s="31"/>
      <c r="E118" s="31"/>
      <c r="F118" s="31"/>
      <c r="G118" s="31"/>
      <c r="H118" s="33"/>
      <c r="I118" s="33"/>
      <c r="J118" s="33"/>
      <c r="T118" s="14" t="s">
        <v>102</v>
      </c>
      <c r="U118" s="14">
        <v>0.10460000000000491</v>
      </c>
      <c r="V118" s="14">
        <v>0.30479999999997748</v>
      </c>
      <c r="W118" s="14">
        <v>0.13540000000000418</v>
      </c>
      <c r="X118" s="14">
        <v>0.60140000000001237</v>
      </c>
      <c r="Y118" s="14">
        <f t="shared" si="73"/>
        <v>0.29819490270630156</v>
      </c>
      <c r="Z118" s="14">
        <f>1000*0.005418</f>
        <v>5.4180000000000001</v>
      </c>
      <c r="AA118" s="14" t="s">
        <v>102</v>
      </c>
      <c r="AB118" s="14">
        <f t="shared" si="72"/>
        <v>1.515813979940972</v>
      </c>
      <c r="AC118" s="14">
        <f t="shared" si="74"/>
        <v>86.849743577545723</v>
      </c>
    </row>
    <row r="119" spans="3:29" x14ac:dyDescent="0.15">
      <c r="C119" s="32"/>
      <c r="D119" s="31"/>
      <c r="E119" s="31"/>
      <c r="F119" s="31"/>
      <c r="G119" s="31"/>
      <c r="H119" s="33"/>
      <c r="I119" s="33"/>
      <c r="J119" s="33"/>
      <c r="T119" s="14" t="s">
        <v>103</v>
      </c>
      <c r="U119" s="14">
        <v>2.4071999999999889</v>
      </c>
      <c r="V119" s="14">
        <v>2.487800000000016</v>
      </c>
      <c r="W119" s="14">
        <v>1.6635999999999969</v>
      </c>
      <c r="X119" s="14">
        <v>3.8088000000000193</v>
      </c>
      <c r="Y119" s="14">
        <f t="shared" si="73"/>
        <v>1.5159096147198212</v>
      </c>
      <c r="Z119" s="14">
        <f>1000*0.00234</f>
        <v>2.34</v>
      </c>
      <c r="AA119" s="14" t="s">
        <v>103</v>
      </c>
      <c r="AB119" s="14">
        <f t="shared" si="72"/>
        <v>0.99595189084265401</v>
      </c>
      <c r="AC119" s="14">
        <f t="shared" si="74"/>
        <v>57.063839943358133</v>
      </c>
    </row>
    <row r="120" spans="3:29" x14ac:dyDescent="0.15">
      <c r="C120" s="32"/>
      <c r="D120" s="31"/>
      <c r="E120" s="31"/>
      <c r="F120" s="31"/>
      <c r="G120" s="31"/>
      <c r="H120" s="33"/>
      <c r="I120" s="33"/>
      <c r="J120" s="33"/>
    </row>
    <row r="121" spans="3:29" x14ac:dyDescent="0.15">
      <c r="C121" s="32"/>
      <c r="D121" s="31"/>
      <c r="E121" s="31"/>
      <c r="F121" s="31"/>
      <c r="G121" s="31"/>
      <c r="H121" s="33"/>
      <c r="I121" s="33"/>
      <c r="J121" s="33"/>
    </row>
    <row r="122" spans="3:29" x14ac:dyDescent="0.15">
      <c r="C122" s="32"/>
      <c r="D122" s="31"/>
      <c r="E122" s="31"/>
      <c r="F122" s="31"/>
      <c r="G122" s="31"/>
      <c r="H122" s="33"/>
      <c r="I122" s="33"/>
      <c r="J122" s="33"/>
    </row>
    <row r="123" spans="3:29" x14ac:dyDescent="0.15">
      <c r="C123" s="32"/>
      <c r="D123" s="31"/>
      <c r="E123" s="31"/>
      <c r="F123" s="31"/>
      <c r="G123" s="31"/>
      <c r="H123" s="33"/>
      <c r="I123" s="33"/>
      <c r="J123" s="33"/>
    </row>
    <row r="124" spans="3:29" x14ac:dyDescent="0.15">
      <c r="C124" s="32"/>
      <c r="D124" s="31"/>
      <c r="E124" s="31"/>
      <c r="F124" s="31"/>
      <c r="G124" s="31"/>
      <c r="H124" s="33"/>
      <c r="I124" s="33"/>
      <c r="J124" s="33"/>
    </row>
    <row r="125" spans="3:29" x14ac:dyDescent="0.15">
      <c r="C125" s="32"/>
      <c r="D125" s="31"/>
      <c r="E125" s="31"/>
      <c r="F125" s="31"/>
      <c r="G125" s="31"/>
      <c r="H125" s="33"/>
      <c r="I125" s="33"/>
      <c r="J125" s="33"/>
    </row>
    <row r="126" spans="3:29" x14ac:dyDescent="0.15">
      <c r="C126" s="32"/>
      <c r="D126" s="31"/>
      <c r="E126" s="31"/>
      <c r="F126" s="31"/>
      <c r="G126" s="31"/>
      <c r="H126" s="33"/>
      <c r="I126" s="33"/>
      <c r="J126" s="33"/>
    </row>
    <row r="129" spans="11:16" x14ac:dyDescent="0.15">
      <c r="K129" s="15"/>
      <c r="P129" s="15"/>
    </row>
    <row r="130" spans="11:16" x14ac:dyDescent="0.15">
      <c r="K130" s="15"/>
      <c r="P130" s="15"/>
    </row>
    <row r="131" spans="11:16" x14ac:dyDescent="0.15">
      <c r="K131" s="15"/>
      <c r="P131" s="15"/>
    </row>
    <row r="132" spans="11:16" x14ac:dyDescent="0.15">
      <c r="K132" s="15"/>
      <c r="P132" s="15"/>
    </row>
    <row r="133" spans="11:16" x14ac:dyDescent="0.15">
      <c r="K133" s="15"/>
      <c r="P133" s="15"/>
    </row>
    <row r="134" spans="11:16" x14ac:dyDescent="0.15">
      <c r="K134" s="15"/>
      <c r="P134" s="15"/>
    </row>
    <row r="135" spans="11:16" x14ac:dyDescent="0.15">
      <c r="K135" s="15"/>
      <c r="P135" s="15"/>
    </row>
  </sheetData>
  <mergeCells count="5">
    <mergeCell ref="D3:E3"/>
    <mergeCell ref="I3:J3"/>
    <mergeCell ref="Q52:Y52"/>
    <mergeCell ref="Z52:AC52"/>
    <mergeCell ref="N109:O109"/>
  </mergeCells>
  <conditionalFormatting sqref="B54:B5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4:B57 B5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4:B6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4:B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5:B8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5:B88 B9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5:B94 B97:B98 B101:B10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5:B10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bg284b</vt:lpstr>
      <vt:lpstr>2nd bg284d</vt:lpstr>
      <vt:lpstr>3rd bg284f</vt:lpstr>
      <vt:lpstr>4th bg284g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Rezi Getsadze</cp:lastModifiedBy>
  <dcterms:created xsi:type="dcterms:W3CDTF">2024-02-18T16:18:30Z</dcterms:created>
  <dcterms:modified xsi:type="dcterms:W3CDTF">2024-05-03T15:18:14Z</dcterms:modified>
</cp:coreProperties>
</file>